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nri\Desktop\"/>
    </mc:Choice>
  </mc:AlternateContent>
  <xr:revisionPtr revIDLastSave="0" documentId="10_ncr:100000_{B7CA05B7-EC9B-48A4-990A-D4192DBEAE2C}" xr6:coauthVersionLast="31" xr6:coauthVersionMax="31" xr10:uidLastSave="{00000000-0000-0000-0000-000000000000}"/>
  <bookViews>
    <workbookView xWindow="0" yWindow="0" windowWidth="25600" windowHeight="12150" activeTab="5" xr2:uid="{00000000-000D-0000-FFFF-FFFF00000000}"/>
  </bookViews>
  <sheets>
    <sheet name="Base_de_donnee_articles" sheetId="4" r:id="rId1"/>
    <sheet name="Journal_entrees_et_sorties" sheetId="1" r:id="rId2"/>
    <sheet name="Inventaire" sheetId="6" r:id="rId3"/>
    <sheet name="Etat_des_stocks" sheetId="3" r:id="rId4"/>
    <sheet name="Fiche_personnel" sheetId="7" r:id="rId5"/>
    <sheet name="Outils_analyse" sheetId="5" r:id="rId6"/>
  </sheets>
  <calcPr calcId="179017"/>
</workbook>
</file>

<file path=xl/calcChain.xml><?xml version="1.0" encoding="utf-8"?>
<calcChain xmlns="http://schemas.openxmlformats.org/spreadsheetml/2006/main">
  <c r="F83" i="4" l="1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C18" i="6" l="1"/>
  <c r="B9" i="5" l="1"/>
  <c r="E9" i="5"/>
  <c r="B10" i="5"/>
  <c r="E10" i="5"/>
  <c r="B11" i="5"/>
  <c r="E11" i="5"/>
  <c r="B12" i="5"/>
  <c r="E12" i="5"/>
  <c r="B13" i="5"/>
  <c r="E13" i="5"/>
  <c r="B14" i="5"/>
  <c r="E14" i="5"/>
  <c r="B15" i="5"/>
  <c r="E15" i="5"/>
  <c r="B16" i="5"/>
  <c r="E16" i="5"/>
  <c r="B17" i="5"/>
  <c r="E17" i="5"/>
  <c r="B18" i="5"/>
  <c r="E18" i="5"/>
  <c r="B19" i="5"/>
  <c r="E19" i="5"/>
  <c r="B20" i="5"/>
  <c r="E20" i="5"/>
  <c r="B21" i="5"/>
  <c r="E21" i="5"/>
  <c r="B22" i="5"/>
  <c r="E22" i="5"/>
  <c r="B23" i="5"/>
  <c r="E23" i="5"/>
  <c r="B24" i="5"/>
  <c r="E24" i="5"/>
  <c r="B25" i="5"/>
  <c r="E25" i="5"/>
  <c r="B26" i="5"/>
  <c r="E26" i="5"/>
  <c r="B27" i="5"/>
  <c r="E27" i="5"/>
  <c r="B28" i="5"/>
  <c r="E28" i="5"/>
  <c r="B29" i="5"/>
  <c r="E29" i="5"/>
  <c r="B30" i="5"/>
  <c r="E30" i="5"/>
  <c r="B31" i="5"/>
  <c r="E31" i="5"/>
  <c r="B32" i="5"/>
  <c r="E32" i="5"/>
  <c r="B33" i="5"/>
  <c r="E33" i="5"/>
  <c r="B34" i="5"/>
  <c r="E34" i="5"/>
  <c r="B35" i="5"/>
  <c r="E35" i="5"/>
  <c r="B36" i="5"/>
  <c r="E36" i="5"/>
  <c r="B37" i="5"/>
  <c r="E37" i="5"/>
  <c r="B38" i="5"/>
  <c r="E38" i="5"/>
  <c r="B39" i="5"/>
  <c r="E39" i="5"/>
  <c r="B40" i="5"/>
  <c r="E40" i="5"/>
  <c r="B41" i="5"/>
  <c r="E41" i="5"/>
  <c r="B42" i="5"/>
  <c r="E42" i="5"/>
  <c r="B43" i="5"/>
  <c r="E43" i="5"/>
  <c r="B44" i="5"/>
  <c r="E44" i="5"/>
  <c r="B45" i="5"/>
  <c r="E45" i="5"/>
  <c r="B46" i="5"/>
  <c r="E46" i="5"/>
  <c r="B47" i="5"/>
  <c r="E47" i="5"/>
  <c r="B48" i="5"/>
  <c r="E48" i="5"/>
  <c r="B49" i="5"/>
  <c r="E49" i="5"/>
  <c r="B50" i="5"/>
  <c r="E50" i="5"/>
  <c r="B51" i="5"/>
  <c r="E51" i="5"/>
  <c r="B52" i="5"/>
  <c r="E52" i="5"/>
  <c r="B53" i="5"/>
  <c r="E53" i="5"/>
  <c r="B54" i="5"/>
  <c r="E54" i="5"/>
  <c r="B55" i="5"/>
  <c r="E55" i="5"/>
  <c r="B56" i="5"/>
  <c r="E56" i="5"/>
  <c r="B57" i="5"/>
  <c r="E57" i="5"/>
  <c r="B58" i="5"/>
  <c r="E58" i="5"/>
  <c r="B59" i="5"/>
  <c r="E59" i="5"/>
  <c r="B60" i="5"/>
  <c r="E60" i="5"/>
  <c r="B61" i="5"/>
  <c r="E61" i="5"/>
  <c r="B62" i="5"/>
  <c r="E62" i="5"/>
  <c r="B63" i="5"/>
  <c r="E63" i="5"/>
  <c r="B64" i="5"/>
  <c r="E64" i="5"/>
  <c r="B65" i="5"/>
  <c r="E65" i="5"/>
  <c r="B66" i="5"/>
  <c r="E66" i="5"/>
  <c r="B67" i="5"/>
  <c r="E67" i="5"/>
  <c r="B68" i="5"/>
  <c r="E68" i="5"/>
  <c r="B69" i="5"/>
  <c r="E69" i="5"/>
  <c r="B70" i="5"/>
  <c r="E70" i="5"/>
  <c r="B71" i="5"/>
  <c r="E71" i="5"/>
  <c r="B72" i="5"/>
  <c r="E72" i="5"/>
  <c r="B73" i="5"/>
  <c r="E73" i="5"/>
  <c r="B74" i="5"/>
  <c r="E74" i="5"/>
  <c r="B75" i="5"/>
  <c r="E75" i="5"/>
  <c r="B76" i="5"/>
  <c r="E76" i="5"/>
  <c r="B77" i="5"/>
  <c r="E77" i="5"/>
  <c r="B78" i="5"/>
  <c r="E78" i="5"/>
  <c r="B79" i="5"/>
  <c r="E79" i="5"/>
  <c r="B80" i="5"/>
  <c r="E80" i="5"/>
  <c r="B81" i="5"/>
  <c r="E81" i="5"/>
  <c r="B82" i="5"/>
  <c r="E82" i="5"/>
  <c r="B83" i="5"/>
  <c r="E83" i="5"/>
  <c r="B84" i="5"/>
  <c r="E84" i="5"/>
  <c r="B85" i="5"/>
  <c r="E85" i="5"/>
  <c r="B86" i="5"/>
  <c r="E86" i="5"/>
  <c r="B87" i="5"/>
  <c r="E87" i="5"/>
  <c r="B88" i="5"/>
  <c r="E88" i="5"/>
  <c r="B89" i="5"/>
  <c r="D89" i="5"/>
  <c r="E89" i="5"/>
  <c r="B90" i="5"/>
  <c r="D90" i="5"/>
  <c r="E90" i="5"/>
  <c r="B91" i="5"/>
  <c r="D91" i="5"/>
  <c r="E91" i="5"/>
  <c r="B92" i="5"/>
  <c r="D92" i="5"/>
  <c r="E92" i="5"/>
  <c r="B93" i="5"/>
  <c r="D93" i="5"/>
  <c r="E93" i="5"/>
  <c r="B94" i="5"/>
  <c r="D94" i="5"/>
  <c r="E94" i="5"/>
  <c r="B95" i="5"/>
  <c r="D95" i="5"/>
  <c r="E95" i="5"/>
  <c r="B96" i="5"/>
  <c r="D96" i="5"/>
  <c r="E96" i="5"/>
  <c r="B97" i="5"/>
  <c r="D97" i="5"/>
  <c r="E97" i="5"/>
  <c r="B98" i="5"/>
  <c r="D98" i="5"/>
  <c r="E98" i="5"/>
  <c r="B99" i="5"/>
  <c r="D99" i="5"/>
  <c r="E99" i="5"/>
  <c r="B100" i="5"/>
  <c r="D100" i="5"/>
  <c r="E100" i="5"/>
  <c r="B101" i="5"/>
  <c r="D101" i="5"/>
  <c r="E101" i="5"/>
  <c r="B102" i="5"/>
  <c r="D102" i="5"/>
  <c r="E102" i="5"/>
  <c r="B103" i="5"/>
  <c r="D103" i="5"/>
  <c r="E103" i="5"/>
  <c r="B104" i="5"/>
  <c r="D104" i="5"/>
  <c r="E104" i="5"/>
  <c r="B105" i="5"/>
  <c r="D105" i="5"/>
  <c r="E105" i="5"/>
  <c r="B106" i="5"/>
  <c r="D106" i="5"/>
  <c r="E106" i="5"/>
  <c r="B107" i="5"/>
  <c r="D107" i="5"/>
  <c r="E107" i="5"/>
  <c r="B108" i="5"/>
  <c r="D108" i="5"/>
  <c r="E108" i="5"/>
  <c r="B109" i="5"/>
  <c r="D109" i="5"/>
  <c r="E109" i="5"/>
  <c r="B110" i="5"/>
  <c r="D110" i="5"/>
  <c r="E110" i="5"/>
  <c r="B111" i="5"/>
  <c r="D111" i="5"/>
  <c r="E111" i="5"/>
  <c r="B112" i="5"/>
  <c r="D112" i="5"/>
  <c r="E112" i="5"/>
  <c r="B113" i="5"/>
  <c r="D113" i="5"/>
  <c r="E113" i="5"/>
  <c r="B114" i="5"/>
  <c r="D114" i="5"/>
  <c r="E114" i="5"/>
  <c r="B115" i="5"/>
  <c r="D115" i="5"/>
  <c r="E115" i="5"/>
  <c r="B116" i="5"/>
  <c r="D116" i="5"/>
  <c r="E116" i="5"/>
  <c r="B117" i="5"/>
  <c r="D117" i="5"/>
  <c r="E117" i="5"/>
  <c r="B118" i="5"/>
  <c r="D118" i="5"/>
  <c r="E118" i="5"/>
  <c r="B119" i="5"/>
  <c r="D119" i="5"/>
  <c r="E119" i="5"/>
  <c r="B120" i="5"/>
  <c r="D120" i="5"/>
  <c r="E120" i="5"/>
  <c r="B121" i="5"/>
  <c r="D121" i="5"/>
  <c r="E121" i="5"/>
  <c r="B122" i="5"/>
  <c r="D122" i="5"/>
  <c r="E122" i="5"/>
  <c r="B123" i="5"/>
  <c r="D123" i="5"/>
  <c r="E123" i="5"/>
  <c r="B124" i="5"/>
  <c r="D124" i="5"/>
  <c r="E124" i="5"/>
  <c r="B125" i="5"/>
  <c r="D125" i="5"/>
  <c r="E125" i="5"/>
  <c r="B126" i="5"/>
  <c r="D126" i="5"/>
  <c r="E126" i="5"/>
  <c r="B127" i="5"/>
  <c r="D127" i="5"/>
  <c r="E127" i="5"/>
  <c r="B128" i="5"/>
  <c r="D128" i="5"/>
  <c r="E128" i="5"/>
  <c r="B129" i="5"/>
  <c r="D129" i="5"/>
  <c r="E129" i="5"/>
  <c r="B130" i="5"/>
  <c r="D130" i="5"/>
  <c r="E130" i="5"/>
  <c r="B131" i="5"/>
  <c r="D131" i="5"/>
  <c r="E131" i="5"/>
  <c r="B132" i="5"/>
  <c r="D132" i="5"/>
  <c r="E132" i="5"/>
  <c r="B133" i="5"/>
  <c r="D133" i="5"/>
  <c r="E133" i="5"/>
  <c r="B134" i="5"/>
  <c r="D134" i="5"/>
  <c r="E134" i="5"/>
  <c r="B135" i="5"/>
  <c r="D135" i="5"/>
  <c r="E135" i="5"/>
  <c r="B136" i="5"/>
  <c r="D136" i="5"/>
  <c r="E136" i="5"/>
  <c r="B137" i="5"/>
  <c r="D137" i="5"/>
  <c r="E137" i="5"/>
  <c r="B138" i="5"/>
  <c r="D138" i="5"/>
  <c r="E138" i="5"/>
  <c r="B139" i="5"/>
  <c r="D139" i="5"/>
  <c r="E139" i="5"/>
  <c r="B140" i="5"/>
  <c r="D140" i="5"/>
  <c r="E140" i="5"/>
  <c r="B141" i="5"/>
  <c r="D141" i="5"/>
  <c r="E141" i="5"/>
  <c r="B142" i="5"/>
  <c r="D142" i="5"/>
  <c r="E142" i="5"/>
  <c r="B143" i="5"/>
  <c r="D143" i="5"/>
  <c r="E143" i="5"/>
  <c r="B144" i="5"/>
  <c r="D144" i="5"/>
  <c r="E144" i="5"/>
  <c r="B145" i="5"/>
  <c r="D145" i="5"/>
  <c r="E145" i="5"/>
  <c r="B146" i="5"/>
  <c r="D146" i="5"/>
  <c r="E146" i="5"/>
  <c r="B147" i="5"/>
  <c r="D147" i="5"/>
  <c r="E147" i="5"/>
  <c r="B148" i="5"/>
  <c r="D148" i="5"/>
  <c r="E148" i="5"/>
  <c r="B149" i="5"/>
  <c r="D149" i="5"/>
  <c r="E149" i="5"/>
  <c r="B150" i="5"/>
  <c r="D150" i="5"/>
  <c r="E150" i="5"/>
  <c r="B151" i="5"/>
  <c r="D151" i="5"/>
  <c r="E151" i="5"/>
  <c r="B152" i="5"/>
  <c r="D152" i="5"/>
  <c r="E152" i="5"/>
  <c r="B153" i="5"/>
  <c r="D153" i="5"/>
  <c r="E153" i="5"/>
  <c r="B154" i="5"/>
  <c r="D154" i="5"/>
  <c r="E154" i="5"/>
  <c r="B155" i="5"/>
  <c r="D155" i="5"/>
  <c r="E155" i="5"/>
  <c r="B156" i="5"/>
  <c r="D156" i="5"/>
  <c r="E156" i="5"/>
  <c r="B157" i="5"/>
  <c r="D157" i="5"/>
  <c r="E157" i="5"/>
  <c r="B158" i="5"/>
  <c r="D158" i="5"/>
  <c r="E158" i="5"/>
  <c r="B159" i="5"/>
  <c r="D159" i="5"/>
  <c r="E159" i="5"/>
  <c r="B160" i="5"/>
  <c r="D160" i="5"/>
  <c r="E160" i="5"/>
  <c r="B161" i="5"/>
  <c r="D161" i="5"/>
  <c r="E161" i="5"/>
  <c r="B162" i="5"/>
  <c r="D162" i="5"/>
  <c r="E162" i="5"/>
  <c r="B163" i="5"/>
  <c r="D163" i="5"/>
  <c r="E163" i="5"/>
  <c r="B164" i="5"/>
  <c r="D164" i="5"/>
  <c r="E164" i="5"/>
  <c r="B165" i="5"/>
  <c r="D165" i="5"/>
  <c r="E165" i="5"/>
  <c r="B166" i="5"/>
  <c r="D166" i="5"/>
  <c r="E166" i="5"/>
  <c r="B167" i="5"/>
  <c r="D167" i="5"/>
  <c r="E167" i="5"/>
  <c r="B168" i="5"/>
  <c r="D168" i="5"/>
  <c r="E168" i="5"/>
  <c r="B169" i="5"/>
  <c r="D169" i="5"/>
  <c r="E169" i="5"/>
  <c r="B170" i="5"/>
  <c r="D170" i="5"/>
  <c r="E170" i="5"/>
  <c r="B171" i="5"/>
  <c r="D171" i="5"/>
  <c r="E171" i="5"/>
  <c r="B172" i="5"/>
  <c r="D172" i="5"/>
  <c r="E172" i="5"/>
  <c r="B173" i="5"/>
  <c r="D173" i="5"/>
  <c r="E173" i="5"/>
  <c r="B174" i="5"/>
  <c r="D174" i="5"/>
  <c r="E174" i="5"/>
  <c r="B175" i="5"/>
  <c r="D175" i="5"/>
  <c r="E175" i="5"/>
  <c r="B176" i="5"/>
  <c r="D176" i="5"/>
  <c r="E176" i="5"/>
  <c r="B177" i="5"/>
  <c r="D177" i="5"/>
  <c r="E177" i="5"/>
  <c r="B178" i="5"/>
  <c r="D178" i="5"/>
  <c r="E178" i="5"/>
  <c r="B179" i="5"/>
  <c r="D179" i="5"/>
  <c r="E179" i="5"/>
  <c r="B180" i="5"/>
  <c r="D180" i="5"/>
  <c r="E180" i="5"/>
  <c r="B181" i="5"/>
  <c r="D181" i="5"/>
  <c r="E181" i="5"/>
  <c r="B182" i="5"/>
  <c r="D182" i="5"/>
  <c r="E182" i="5"/>
  <c r="B183" i="5"/>
  <c r="D183" i="5"/>
  <c r="E183" i="5"/>
  <c r="B184" i="5"/>
  <c r="D184" i="5"/>
  <c r="E184" i="5"/>
  <c r="B185" i="5"/>
  <c r="D185" i="5"/>
  <c r="E185" i="5"/>
  <c r="B186" i="5"/>
  <c r="D186" i="5"/>
  <c r="E186" i="5"/>
  <c r="B187" i="5"/>
  <c r="D187" i="5"/>
  <c r="E187" i="5"/>
  <c r="B188" i="5"/>
  <c r="D188" i="5"/>
  <c r="E188" i="5"/>
  <c r="B189" i="5"/>
  <c r="D189" i="5"/>
  <c r="E189" i="5"/>
  <c r="B190" i="5"/>
  <c r="D190" i="5"/>
  <c r="E190" i="5"/>
  <c r="B191" i="5"/>
  <c r="D191" i="5"/>
  <c r="E191" i="5"/>
  <c r="B192" i="5"/>
  <c r="D192" i="5"/>
  <c r="E192" i="5"/>
  <c r="B193" i="5"/>
  <c r="D193" i="5"/>
  <c r="E193" i="5"/>
  <c r="B194" i="5"/>
  <c r="D194" i="5"/>
  <c r="E194" i="5"/>
  <c r="B195" i="5"/>
  <c r="D195" i="5"/>
  <c r="E195" i="5"/>
  <c r="B196" i="5"/>
  <c r="D196" i="5"/>
  <c r="E196" i="5"/>
  <c r="B197" i="5"/>
  <c r="D197" i="5"/>
  <c r="E197" i="5"/>
  <c r="B198" i="5"/>
  <c r="D198" i="5"/>
  <c r="E198" i="5"/>
  <c r="B199" i="5"/>
  <c r="D199" i="5"/>
  <c r="E199" i="5"/>
  <c r="B200" i="5"/>
  <c r="D200" i="5"/>
  <c r="E200" i="5"/>
  <c r="B201" i="5"/>
  <c r="D201" i="5"/>
  <c r="E201" i="5"/>
  <c r="B202" i="5"/>
  <c r="D202" i="5"/>
  <c r="E202" i="5"/>
  <c r="B203" i="5"/>
  <c r="D203" i="5"/>
  <c r="E203" i="5"/>
  <c r="B204" i="5"/>
  <c r="D204" i="5"/>
  <c r="E204" i="5"/>
  <c r="B205" i="5"/>
  <c r="D205" i="5"/>
  <c r="E205" i="5"/>
  <c r="B206" i="5"/>
  <c r="D206" i="5"/>
  <c r="E206" i="5"/>
  <c r="B207" i="5"/>
  <c r="D207" i="5"/>
  <c r="E207" i="5"/>
  <c r="B208" i="5"/>
  <c r="D208" i="5"/>
  <c r="E208" i="5"/>
  <c r="B209" i="5"/>
  <c r="D209" i="5"/>
  <c r="E209" i="5"/>
  <c r="B210" i="5"/>
  <c r="D210" i="5"/>
  <c r="E210" i="5"/>
  <c r="B211" i="5"/>
  <c r="D211" i="5"/>
  <c r="E211" i="5"/>
  <c r="B212" i="5"/>
  <c r="D212" i="5"/>
  <c r="E212" i="5"/>
  <c r="B213" i="5"/>
  <c r="D213" i="5"/>
  <c r="E213" i="5"/>
  <c r="B214" i="5"/>
  <c r="D214" i="5"/>
  <c r="E214" i="5"/>
  <c r="B215" i="5"/>
  <c r="D215" i="5"/>
  <c r="E215" i="5"/>
  <c r="B216" i="5"/>
  <c r="D216" i="5"/>
  <c r="E216" i="5"/>
  <c r="B217" i="5"/>
  <c r="D217" i="5"/>
  <c r="E217" i="5"/>
  <c r="B218" i="5"/>
  <c r="D218" i="5"/>
  <c r="E218" i="5"/>
  <c r="B219" i="5"/>
  <c r="D219" i="5"/>
  <c r="E219" i="5"/>
  <c r="B220" i="5"/>
  <c r="D220" i="5"/>
  <c r="E220" i="5"/>
  <c r="B221" i="5"/>
  <c r="D221" i="5"/>
  <c r="E221" i="5"/>
  <c r="B222" i="5"/>
  <c r="D222" i="5"/>
  <c r="E222" i="5"/>
  <c r="B223" i="5"/>
  <c r="D223" i="5"/>
  <c r="E223" i="5"/>
  <c r="B224" i="5"/>
  <c r="D224" i="5"/>
  <c r="E224" i="5"/>
  <c r="B225" i="5"/>
  <c r="D225" i="5"/>
  <c r="E225" i="5"/>
  <c r="B226" i="5"/>
  <c r="D226" i="5"/>
  <c r="E226" i="5"/>
  <c r="B227" i="5"/>
  <c r="D227" i="5"/>
  <c r="E227" i="5"/>
  <c r="B228" i="5"/>
  <c r="D228" i="5"/>
  <c r="E228" i="5"/>
  <c r="B229" i="5"/>
  <c r="D229" i="5"/>
  <c r="E229" i="5"/>
  <c r="B230" i="5"/>
  <c r="D230" i="5"/>
  <c r="E230" i="5"/>
  <c r="B231" i="5"/>
  <c r="D231" i="5"/>
  <c r="E231" i="5"/>
  <c r="B232" i="5"/>
  <c r="D232" i="5"/>
  <c r="E232" i="5"/>
  <c r="B233" i="5"/>
  <c r="D233" i="5"/>
  <c r="E233" i="5"/>
  <c r="B234" i="5"/>
  <c r="D234" i="5"/>
  <c r="E234" i="5"/>
  <c r="B235" i="5"/>
  <c r="D235" i="5"/>
  <c r="E235" i="5"/>
  <c r="B236" i="5"/>
  <c r="D236" i="5"/>
  <c r="E236" i="5"/>
  <c r="B237" i="5"/>
  <c r="D237" i="5"/>
  <c r="E237" i="5"/>
  <c r="B238" i="5"/>
  <c r="D238" i="5"/>
  <c r="E238" i="5"/>
  <c r="B239" i="5"/>
  <c r="D239" i="5"/>
  <c r="E239" i="5"/>
  <c r="B240" i="5"/>
  <c r="D240" i="5"/>
  <c r="E240" i="5"/>
  <c r="B241" i="5"/>
  <c r="D241" i="5"/>
  <c r="E241" i="5"/>
  <c r="B242" i="5"/>
  <c r="D242" i="5"/>
  <c r="E242" i="5"/>
  <c r="B243" i="5"/>
  <c r="D243" i="5"/>
  <c r="E243" i="5"/>
  <c r="B244" i="5"/>
  <c r="D244" i="5"/>
  <c r="E244" i="5"/>
  <c r="B245" i="5"/>
  <c r="D245" i="5"/>
  <c r="E245" i="5"/>
  <c r="B246" i="5"/>
  <c r="D246" i="5"/>
  <c r="E246" i="5"/>
  <c r="B247" i="5"/>
  <c r="D247" i="5"/>
  <c r="E247" i="5"/>
  <c r="B248" i="5"/>
  <c r="D248" i="5"/>
  <c r="E248" i="5"/>
  <c r="B249" i="5"/>
  <c r="D249" i="5"/>
  <c r="E249" i="5"/>
  <c r="B250" i="5"/>
  <c r="D250" i="5"/>
  <c r="E250" i="5"/>
  <c r="B251" i="5"/>
  <c r="D251" i="5"/>
  <c r="E251" i="5"/>
  <c r="B252" i="5"/>
  <c r="D252" i="5"/>
  <c r="E252" i="5"/>
  <c r="B253" i="5"/>
  <c r="D253" i="5"/>
  <c r="E253" i="5"/>
  <c r="B254" i="5"/>
  <c r="D254" i="5"/>
  <c r="E254" i="5"/>
  <c r="B255" i="5"/>
  <c r="D255" i="5"/>
  <c r="E255" i="5"/>
  <c r="B256" i="5"/>
  <c r="D256" i="5"/>
  <c r="E256" i="5"/>
  <c r="B257" i="5"/>
  <c r="D257" i="5"/>
  <c r="E257" i="5"/>
  <c r="B258" i="5"/>
  <c r="D258" i="5"/>
  <c r="E258" i="5"/>
  <c r="B259" i="5"/>
  <c r="D259" i="5"/>
  <c r="E259" i="5"/>
  <c r="B260" i="5"/>
  <c r="D260" i="5"/>
  <c r="E260" i="5"/>
  <c r="B261" i="5"/>
  <c r="D261" i="5"/>
  <c r="E261" i="5"/>
  <c r="B262" i="5"/>
  <c r="D262" i="5"/>
  <c r="E262" i="5"/>
  <c r="B263" i="5"/>
  <c r="D263" i="5"/>
  <c r="E263" i="5"/>
  <c r="B264" i="5"/>
  <c r="D264" i="5"/>
  <c r="E264" i="5"/>
  <c r="B265" i="5"/>
  <c r="D265" i="5"/>
  <c r="E265" i="5"/>
  <c r="B266" i="5"/>
  <c r="D266" i="5"/>
  <c r="E266" i="5"/>
  <c r="B267" i="5"/>
  <c r="D267" i="5"/>
  <c r="E267" i="5"/>
  <c r="B268" i="5"/>
  <c r="D268" i="5"/>
  <c r="E268" i="5"/>
  <c r="B269" i="5"/>
  <c r="D269" i="5"/>
  <c r="E269" i="5"/>
  <c r="B270" i="5"/>
  <c r="D270" i="5"/>
  <c r="E270" i="5"/>
  <c r="B271" i="5"/>
  <c r="D271" i="5"/>
  <c r="E271" i="5"/>
  <c r="B272" i="5"/>
  <c r="D272" i="5"/>
  <c r="E272" i="5"/>
  <c r="B273" i="5"/>
  <c r="D273" i="5"/>
  <c r="E273" i="5"/>
  <c r="B274" i="5"/>
  <c r="D274" i="5"/>
  <c r="E274" i="5"/>
  <c r="B275" i="5"/>
  <c r="D275" i="5"/>
  <c r="E275" i="5"/>
  <c r="B276" i="5"/>
  <c r="D276" i="5"/>
  <c r="E276" i="5"/>
  <c r="B277" i="5"/>
  <c r="D277" i="5"/>
  <c r="E277" i="5"/>
  <c r="B278" i="5"/>
  <c r="D278" i="5"/>
  <c r="E278" i="5"/>
  <c r="B279" i="5"/>
  <c r="D279" i="5"/>
  <c r="E279" i="5"/>
  <c r="B280" i="5"/>
  <c r="D280" i="5"/>
  <c r="E280" i="5"/>
  <c r="B281" i="5"/>
  <c r="D281" i="5"/>
  <c r="E281" i="5"/>
  <c r="B282" i="5"/>
  <c r="D282" i="5"/>
  <c r="E282" i="5"/>
  <c r="B283" i="5"/>
  <c r="D283" i="5"/>
  <c r="E283" i="5"/>
  <c r="B284" i="5"/>
  <c r="D284" i="5"/>
  <c r="E284" i="5"/>
  <c r="B285" i="5"/>
  <c r="D285" i="5"/>
  <c r="E285" i="5"/>
  <c r="B286" i="5"/>
  <c r="D286" i="5"/>
  <c r="E286" i="5"/>
  <c r="B287" i="5"/>
  <c r="D287" i="5"/>
  <c r="E287" i="5"/>
  <c r="B288" i="5"/>
  <c r="D288" i="5"/>
  <c r="E288" i="5"/>
  <c r="B289" i="5"/>
  <c r="D289" i="5"/>
  <c r="E289" i="5"/>
  <c r="B290" i="5"/>
  <c r="D290" i="5"/>
  <c r="E290" i="5"/>
  <c r="B291" i="5"/>
  <c r="D291" i="5"/>
  <c r="E291" i="5"/>
  <c r="B292" i="5"/>
  <c r="D292" i="5"/>
  <c r="E292" i="5"/>
  <c r="B293" i="5"/>
  <c r="D293" i="5"/>
  <c r="E293" i="5"/>
  <c r="B294" i="5"/>
  <c r="D294" i="5"/>
  <c r="E294" i="5"/>
  <c r="B295" i="5"/>
  <c r="D295" i="5"/>
  <c r="E295" i="5"/>
  <c r="B296" i="5"/>
  <c r="D296" i="5"/>
  <c r="E296" i="5"/>
  <c r="B297" i="5"/>
  <c r="D297" i="5"/>
  <c r="E297" i="5"/>
  <c r="B298" i="5"/>
  <c r="D298" i="5"/>
  <c r="E298" i="5"/>
  <c r="B299" i="5"/>
  <c r="D299" i="5"/>
  <c r="E299" i="5"/>
  <c r="B300" i="5"/>
  <c r="D300" i="5"/>
  <c r="E300" i="5"/>
  <c r="B301" i="5"/>
  <c r="D301" i="5"/>
  <c r="E301" i="5"/>
  <c r="B302" i="5"/>
  <c r="D302" i="5"/>
  <c r="E302" i="5"/>
  <c r="B303" i="5"/>
  <c r="D303" i="5"/>
  <c r="E303" i="5"/>
  <c r="B304" i="5"/>
  <c r="D304" i="5"/>
  <c r="E304" i="5"/>
  <c r="B305" i="5"/>
  <c r="D305" i="5"/>
  <c r="E305" i="5"/>
  <c r="B306" i="5"/>
  <c r="D306" i="5"/>
  <c r="E306" i="5"/>
  <c r="B307" i="5"/>
  <c r="D307" i="5"/>
  <c r="E307" i="5"/>
  <c r="B308" i="5"/>
  <c r="D308" i="5"/>
  <c r="E308" i="5"/>
  <c r="B309" i="5"/>
  <c r="D309" i="5"/>
  <c r="E309" i="5"/>
  <c r="B310" i="5"/>
  <c r="D310" i="5"/>
  <c r="E310" i="5"/>
  <c r="B311" i="5"/>
  <c r="D311" i="5"/>
  <c r="E311" i="5"/>
  <c r="B312" i="5"/>
  <c r="D312" i="5"/>
  <c r="E312" i="5"/>
  <c r="B313" i="5"/>
  <c r="D313" i="5"/>
  <c r="E313" i="5"/>
  <c r="B314" i="5"/>
  <c r="D314" i="5"/>
  <c r="E314" i="5"/>
  <c r="B315" i="5"/>
  <c r="D315" i="5"/>
  <c r="E315" i="5"/>
  <c r="B316" i="5"/>
  <c r="D316" i="5"/>
  <c r="E316" i="5"/>
  <c r="B317" i="5"/>
  <c r="D317" i="5"/>
  <c r="E317" i="5"/>
  <c r="B318" i="5"/>
  <c r="D318" i="5"/>
  <c r="E318" i="5"/>
  <c r="B319" i="5"/>
  <c r="D319" i="5"/>
  <c r="E319" i="5"/>
  <c r="B320" i="5"/>
  <c r="D320" i="5"/>
  <c r="E320" i="5"/>
  <c r="B321" i="5"/>
  <c r="D321" i="5"/>
  <c r="E321" i="5"/>
  <c r="B322" i="5"/>
  <c r="D322" i="5"/>
  <c r="E322" i="5"/>
  <c r="B323" i="5"/>
  <c r="D323" i="5"/>
  <c r="E323" i="5"/>
  <c r="B324" i="5"/>
  <c r="D324" i="5"/>
  <c r="E324" i="5"/>
  <c r="B325" i="5"/>
  <c r="D325" i="5"/>
  <c r="E325" i="5"/>
  <c r="B326" i="5"/>
  <c r="D326" i="5"/>
  <c r="E326" i="5"/>
  <c r="B327" i="5"/>
  <c r="D327" i="5"/>
  <c r="E327" i="5"/>
  <c r="B328" i="5"/>
  <c r="D328" i="5"/>
  <c r="E328" i="5"/>
  <c r="B329" i="5"/>
  <c r="D329" i="5"/>
  <c r="E329" i="5"/>
  <c r="B330" i="5"/>
  <c r="D330" i="5"/>
  <c r="E330" i="5"/>
  <c r="B331" i="5"/>
  <c r="D331" i="5"/>
  <c r="E331" i="5"/>
  <c r="B332" i="5"/>
  <c r="D332" i="5"/>
  <c r="E332" i="5"/>
  <c r="B333" i="5"/>
  <c r="D333" i="5"/>
  <c r="E333" i="5"/>
  <c r="B334" i="5"/>
  <c r="D334" i="5"/>
  <c r="E334" i="5"/>
  <c r="B335" i="5"/>
  <c r="D335" i="5"/>
  <c r="E335" i="5"/>
  <c r="B336" i="5"/>
  <c r="D336" i="5"/>
  <c r="E336" i="5"/>
  <c r="B337" i="5"/>
  <c r="D337" i="5"/>
  <c r="E337" i="5"/>
  <c r="B338" i="5"/>
  <c r="D338" i="5"/>
  <c r="E338" i="5"/>
  <c r="B339" i="5"/>
  <c r="D339" i="5"/>
  <c r="E339" i="5"/>
  <c r="B340" i="5"/>
  <c r="D340" i="5"/>
  <c r="E340" i="5"/>
  <c r="B341" i="5"/>
  <c r="D341" i="5"/>
  <c r="E341" i="5"/>
  <c r="B342" i="5"/>
  <c r="D342" i="5"/>
  <c r="E342" i="5"/>
  <c r="B343" i="5"/>
  <c r="D343" i="5"/>
  <c r="E343" i="5"/>
  <c r="B344" i="5"/>
  <c r="D344" i="5"/>
  <c r="E344" i="5"/>
  <c r="B345" i="5"/>
  <c r="D345" i="5"/>
  <c r="E345" i="5"/>
  <c r="B346" i="5"/>
  <c r="D346" i="5"/>
  <c r="E346" i="5"/>
  <c r="B347" i="5"/>
  <c r="D347" i="5"/>
  <c r="E347" i="5"/>
  <c r="B348" i="5"/>
  <c r="D348" i="5"/>
  <c r="E348" i="5"/>
  <c r="B349" i="5"/>
  <c r="D349" i="5"/>
  <c r="E349" i="5"/>
  <c r="B350" i="5"/>
  <c r="D350" i="5"/>
  <c r="E350" i="5"/>
  <c r="B351" i="5"/>
  <c r="D351" i="5"/>
  <c r="E351" i="5"/>
  <c r="B352" i="5"/>
  <c r="D352" i="5"/>
  <c r="E352" i="5"/>
  <c r="B353" i="5"/>
  <c r="D353" i="5"/>
  <c r="E353" i="5"/>
  <c r="B354" i="5"/>
  <c r="D354" i="5"/>
  <c r="E354" i="5"/>
  <c r="B355" i="5"/>
  <c r="D355" i="5"/>
  <c r="E355" i="5"/>
  <c r="B356" i="5"/>
  <c r="D356" i="5"/>
  <c r="E356" i="5"/>
  <c r="B357" i="5"/>
  <c r="D357" i="5"/>
  <c r="E357" i="5"/>
  <c r="B358" i="5"/>
  <c r="D358" i="5"/>
  <c r="E358" i="5"/>
  <c r="B359" i="5"/>
  <c r="E359" i="5"/>
  <c r="B360" i="5"/>
  <c r="E360" i="5"/>
  <c r="B361" i="5"/>
  <c r="E361" i="5"/>
  <c r="B362" i="5"/>
  <c r="E362" i="5"/>
  <c r="B363" i="5"/>
  <c r="E363" i="5"/>
  <c r="B364" i="5"/>
  <c r="E364" i="5"/>
  <c r="B365" i="5"/>
  <c r="E365" i="5"/>
  <c r="B366" i="5"/>
  <c r="E366" i="5"/>
  <c r="B367" i="5"/>
  <c r="E367" i="5"/>
  <c r="B368" i="5"/>
  <c r="E368" i="5"/>
  <c r="B369" i="5"/>
  <c r="E369" i="5"/>
  <c r="B370" i="5"/>
  <c r="E370" i="5"/>
  <c r="B371" i="5"/>
  <c r="E371" i="5"/>
  <c r="B372" i="5"/>
  <c r="E372" i="5"/>
  <c r="B373" i="5"/>
  <c r="E373" i="5"/>
  <c r="B374" i="5"/>
  <c r="E374" i="5"/>
  <c r="B375" i="5"/>
  <c r="E375" i="5"/>
  <c r="B376" i="5"/>
  <c r="E376" i="5"/>
  <c r="B377" i="5"/>
  <c r="E377" i="5"/>
  <c r="B378" i="5"/>
  <c r="E378" i="5"/>
  <c r="B379" i="5"/>
  <c r="E379" i="5"/>
  <c r="B380" i="5"/>
  <c r="E380" i="5"/>
  <c r="B381" i="5"/>
  <c r="E381" i="5"/>
  <c r="B382" i="5"/>
  <c r="E382" i="5"/>
  <c r="B383" i="5"/>
  <c r="E383" i="5"/>
  <c r="B384" i="5"/>
  <c r="E384" i="5"/>
  <c r="B385" i="5"/>
  <c r="E385" i="5"/>
  <c r="B386" i="5"/>
  <c r="E386" i="5"/>
  <c r="B387" i="5"/>
  <c r="E387" i="5"/>
  <c r="B388" i="5"/>
  <c r="E388" i="5"/>
  <c r="B389" i="5"/>
  <c r="E389" i="5"/>
  <c r="B390" i="5"/>
  <c r="E390" i="5"/>
  <c r="B391" i="5"/>
  <c r="E391" i="5"/>
  <c r="B392" i="5"/>
  <c r="E392" i="5"/>
  <c r="B393" i="5"/>
  <c r="E393" i="5"/>
  <c r="B394" i="5"/>
  <c r="E394" i="5"/>
  <c r="B395" i="5"/>
  <c r="E395" i="5"/>
  <c r="B396" i="5"/>
  <c r="E396" i="5"/>
  <c r="B397" i="5"/>
  <c r="E397" i="5"/>
  <c r="B398" i="5"/>
  <c r="E398" i="5"/>
  <c r="B399" i="5"/>
  <c r="E399" i="5"/>
  <c r="B400" i="5"/>
  <c r="E400" i="5"/>
  <c r="B401" i="5"/>
  <c r="E401" i="5"/>
  <c r="B402" i="5"/>
  <c r="E402" i="5"/>
  <c r="B403" i="5"/>
  <c r="E403" i="5"/>
  <c r="B404" i="5"/>
  <c r="E404" i="5"/>
  <c r="B405" i="5"/>
  <c r="E405" i="5"/>
  <c r="B406" i="5"/>
  <c r="E406" i="5"/>
  <c r="B407" i="5"/>
  <c r="E407" i="5"/>
  <c r="B408" i="5"/>
  <c r="E408" i="5"/>
  <c r="B409" i="5"/>
  <c r="E409" i="5"/>
  <c r="B410" i="5"/>
  <c r="E410" i="5"/>
  <c r="B411" i="5"/>
  <c r="E411" i="5"/>
  <c r="B412" i="5"/>
  <c r="E412" i="5"/>
  <c r="B413" i="5"/>
  <c r="E413" i="5"/>
  <c r="B414" i="5"/>
  <c r="E414" i="5"/>
  <c r="B415" i="5"/>
  <c r="E415" i="5"/>
  <c r="B416" i="5"/>
  <c r="E416" i="5"/>
  <c r="B417" i="5"/>
  <c r="E417" i="5"/>
  <c r="B418" i="5"/>
  <c r="E418" i="5"/>
  <c r="B419" i="5"/>
  <c r="E419" i="5"/>
  <c r="B420" i="5"/>
  <c r="E420" i="5"/>
  <c r="B421" i="5"/>
  <c r="E421" i="5"/>
  <c r="B422" i="5"/>
  <c r="E422" i="5"/>
  <c r="B423" i="5"/>
  <c r="E423" i="5"/>
  <c r="B424" i="5"/>
  <c r="E424" i="5"/>
  <c r="B425" i="5"/>
  <c r="E425" i="5"/>
  <c r="B426" i="5"/>
  <c r="E426" i="5"/>
  <c r="B427" i="5"/>
  <c r="E427" i="5"/>
  <c r="B428" i="5"/>
  <c r="E428" i="5"/>
  <c r="B429" i="5"/>
  <c r="E429" i="5"/>
  <c r="B430" i="5"/>
  <c r="E430" i="5"/>
  <c r="B431" i="5"/>
  <c r="E431" i="5"/>
  <c r="B432" i="5"/>
  <c r="E432" i="5"/>
  <c r="B433" i="5"/>
  <c r="E433" i="5"/>
  <c r="B434" i="5"/>
  <c r="E434" i="5"/>
  <c r="B435" i="5"/>
  <c r="E435" i="5"/>
  <c r="B436" i="5"/>
  <c r="E436" i="5"/>
  <c r="B437" i="5"/>
  <c r="E437" i="5"/>
  <c r="B438" i="5"/>
  <c r="E438" i="5"/>
  <c r="B439" i="5"/>
  <c r="E439" i="5"/>
  <c r="B440" i="5"/>
  <c r="E440" i="5"/>
  <c r="B441" i="5"/>
  <c r="E441" i="5"/>
  <c r="B442" i="5"/>
  <c r="E442" i="5"/>
  <c r="B443" i="5"/>
  <c r="E443" i="5"/>
  <c r="B444" i="5"/>
  <c r="E444" i="5"/>
  <c r="B445" i="5"/>
  <c r="E445" i="5"/>
  <c r="B446" i="5"/>
  <c r="E446" i="5"/>
  <c r="B447" i="5"/>
  <c r="E447" i="5"/>
  <c r="B448" i="5"/>
  <c r="E448" i="5"/>
  <c r="B449" i="5"/>
  <c r="E449" i="5"/>
  <c r="B450" i="5"/>
  <c r="E450" i="5"/>
  <c r="B451" i="5"/>
  <c r="E451" i="5"/>
  <c r="B452" i="5"/>
  <c r="E452" i="5"/>
  <c r="B453" i="5"/>
  <c r="E453" i="5"/>
  <c r="B454" i="5"/>
  <c r="E454" i="5"/>
  <c r="B455" i="5"/>
  <c r="D455" i="5"/>
  <c r="E455" i="5"/>
  <c r="B456" i="5"/>
  <c r="D456" i="5"/>
  <c r="E456" i="5"/>
  <c r="B457" i="5"/>
  <c r="D457" i="5"/>
  <c r="E457" i="5"/>
  <c r="B458" i="5"/>
  <c r="C458" i="5"/>
  <c r="D458" i="5"/>
  <c r="E458" i="5"/>
  <c r="B459" i="5"/>
  <c r="C459" i="5"/>
  <c r="D459" i="5"/>
  <c r="E459" i="5"/>
  <c r="B460" i="5"/>
  <c r="C460" i="5"/>
  <c r="D460" i="5"/>
  <c r="E460" i="5"/>
  <c r="B461" i="5"/>
  <c r="C461" i="5"/>
  <c r="D461" i="5"/>
  <c r="E461" i="5"/>
  <c r="B462" i="5"/>
  <c r="C462" i="5"/>
  <c r="D462" i="5"/>
  <c r="E462" i="5"/>
  <c r="B463" i="5"/>
  <c r="C463" i="5"/>
  <c r="D463" i="5"/>
  <c r="E463" i="5"/>
  <c r="B464" i="5"/>
  <c r="C464" i="5"/>
  <c r="D464" i="5"/>
  <c r="E464" i="5"/>
  <c r="B465" i="5"/>
  <c r="C465" i="5"/>
  <c r="D465" i="5"/>
  <c r="E465" i="5"/>
  <c r="B466" i="5"/>
  <c r="C466" i="5"/>
  <c r="D466" i="5"/>
  <c r="E466" i="5"/>
  <c r="B467" i="5"/>
  <c r="C467" i="5"/>
  <c r="D467" i="5"/>
  <c r="E467" i="5"/>
  <c r="B468" i="5"/>
  <c r="C468" i="5"/>
  <c r="D468" i="5"/>
  <c r="E468" i="5"/>
  <c r="B469" i="5"/>
  <c r="C469" i="5"/>
  <c r="D469" i="5"/>
  <c r="E469" i="5"/>
  <c r="B470" i="5"/>
  <c r="C470" i="5"/>
  <c r="D470" i="5"/>
  <c r="E470" i="5"/>
  <c r="B471" i="5"/>
  <c r="C471" i="5"/>
  <c r="D471" i="5"/>
  <c r="E471" i="5"/>
  <c r="B472" i="5"/>
  <c r="C472" i="5"/>
  <c r="D472" i="5"/>
  <c r="E472" i="5"/>
  <c r="B473" i="5"/>
  <c r="C473" i="5"/>
  <c r="D473" i="5"/>
  <c r="E473" i="5"/>
  <c r="B474" i="5"/>
  <c r="C474" i="5"/>
  <c r="D474" i="5"/>
  <c r="E474" i="5"/>
  <c r="B475" i="5"/>
  <c r="C475" i="5"/>
  <c r="D475" i="5"/>
  <c r="E475" i="5"/>
  <c r="B476" i="5"/>
  <c r="C476" i="5"/>
  <c r="D476" i="5"/>
  <c r="E476" i="5"/>
  <c r="B477" i="5"/>
  <c r="C477" i="5"/>
  <c r="D477" i="5"/>
  <c r="E477" i="5"/>
  <c r="B478" i="5"/>
  <c r="C478" i="5"/>
  <c r="D478" i="5"/>
  <c r="E478" i="5"/>
  <c r="B479" i="5"/>
  <c r="C479" i="5"/>
  <c r="D479" i="5"/>
  <c r="E479" i="5"/>
  <c r="B480" i="5"/>
  <c r="C480" i="5"/>
  <c r="D480" i="5"/>
  <c r="E480" i="5"/>
  <c r="B481" i="5"/>
  <c r="C481" i="5"/>
  <c r="D481" i="5"/>
  <c r="E481" i="5"/>
  <c r="B482" i="5"/>
  <c r="C482" i="5"/>
  <c r="D482" i="5"/>
  <c r="E482" i="5"/>
  <c r="B483" i="5"/>
  <c r="C483" i="5"/>
  <c r="D483" i="5"/>
  <c r="E483" i="5"/>
  <c r="B484" i="5"/>
  <c r="C484" i="5"/>
  <c r="D484" i="5"/>
  <c r="E484" i="5"/>
  <c r="B485" i="5"/>
  <c r="C485" i="5"/>
  <c r="D485" i="5"/>
  <c r="E485" i="5"/>
  <c r="B486" i="5"/>
  <c r="C486" i="5"/>
  <c r="D486" i="5"/>
  <c r="E486" i="5"/>
  <c r="B487" i="5"/>
  <c r="C487" i="5"/>
  <c r="D487" i="5"/>
  <c r="E487" i="5"/>
  <c r="B488" i="5"/>
  <c r="C488" i="5"/>
  <c r="D488" i="5"/>
  <c r="E488" i="5"/>
  <c r="B489" i="5"/>
  <c r="C489" i="5"/>
  <c r="D489" i="5"/>
  <c r="E489" i="5"/>
  <c r="B490" i="5"/>
  <c r="C490" i="5"/>
  <c r="D490" i="5"/>
  <c r="E490" i="5"/>
  <c r="B491" i="5"/>
  <c r="C491" i="5"/>
  <c r="D491" i="5"/>
  <c r="E491" i="5"/>
  <c r="B492" i="5"/>
  <c r="C492" i="5"/>
  <c r="D492" i="5"/>
  <c r="E492" i="5"/>
  <c r="B493" i="5"/>
  <c r="C493" i="5"/>
  <c r="D493" i="5"/>
  <c r="E493" i="5"/>
  <c r="B494" i="5"/>
  <c r="C494" i="5"/>
  <c r="D494" i="5"/>
  <c r="E494" i="5"/>
  <c r="B495" i="5"/>
  <c r="C495" i="5"/>
  <c r="D495" i="5"/>
  <c r="E495" i="5"/>
  <c r="B496" i="5"/>
  <c r="C496" i="5"/>
  <c r="D496" i="5"/>
  <c r="E496" i="5"/>
  <c r="B497" i="5"/>
  <c r="C497" i="5"/>
  <c r="D497" i="5"/>
  <c r="E497" i="5"/>
  <c r="B498" i="5"/>
  <c r="C498" i="5"/>
  <c r="D498" i="5"/>
  <c r="E498" i="5"/>
  <c r="B499" i="5"/>
  <c r="C499" i="5"/>
  <c r="D499" i="5"/>
  <c r="E499" i="5"/>
  <c r="B500" i="5"/>
  <c r="C500" i="5"/>
  <c r="D500" i="5"/>
  <c r="E500" i="5"/>
  <c r="B501" i="5"/>
  <c r="C501" i="5"/>
  <c r="D501" i="5"/>
  <c r="E501" i="5"/>
  <c r="B502" i="5"/>
  <c r="C502" i="5"/>
  <c r="D502" i="5"/>
  <c r="E502" i="5"/>
  <c r="B503" i="5"/>
  <c r="C503" i="5"/>
  <c r="D503" i="5"/>
  <c r="E503" i="5"/>
  <c r="B504" i="5"/>
  <c r="C504" i="5"/>
  <c r="D504" i="5"/>
  <c r="E504" i="5"/>
  <c r="B505" i="5"/>
  <c r="C505" i="5"/>
  <c r="D505" i="5"/>
  <c r="E505" i="5"/>
  <c r="B506" i="5"/>
  <c r="C506" i="5"/>
  <c r="D506" i="5"/>
  <c r="E506" i="5"/>
  <c r="B507" i="5"/>
  <c r="C507" i="5"/>
  <c r="D507" i="5"/>
  <c r="E507" i="5"/>
  <c r="B508" i="5"/>
  <c r="C508" i="5"/>
  <c r="D508" i="5"/>
  <c r="E508" i="5"/>
  <c r="B509" i="5"/>
  <c r="C509" i="5"/>
  <c r="D509" i="5"/>
  <c r="E509" i="5"/>
  <c r="B510" i="5"/>
  <c r="C510" i="5"/>
  <c r="D510" i="5"/>
  <c r="E510" i="5"/>
  <c r="B511" i="5"/>
  <c r="C511" i="5"/>
  <c r="D511" i="5"/>
  <c r="E511" i="5"/>
  <c r="B512" i="5"/>
  <c r="C512" i="5"/>
  <c r="D512" i="5"/>
  <c r="E512" i="5"/>
  <c r="B513" i="5"/>
  <c r="C513" i="5"/>
  <c r="D513" i="5"/>
  <c r="E513" i="5"/>
  <c r="B514" i="5"/>
  <c r="C514" i="5"/>
  <c r="D514" i="5"/>
  <c r="E514" i="5"/>
  <c r="B515" i="5"/>
  <c r="C515" i="5"/>
  <c r="D515" i="5"/>
  <c r="E515" i="5"/>
  <c r="B516" i="5"/>
  <c r="C516" i="5"/>
  <c r="D516" i="5"/>
  <c r="E516" i="5"/>
  <c r="B517" i="5"/>
  <c r="C517" i="5"/>
  <c r="D517" i="5"/>
  <c r="E517" i="5"/>
  <c r="B518" i="5"/>
  <c r="C518" i="5"/>
  <c r="D518" i="5"/>
  <c r="E518" i="5"/>
  <c r="B519" i="5"/>
  <c r="C519" i="5"/>
  <c r="D519" i="5"/>
  <c r="E519" i="5"/>
  <c r="B520" i="5"/>
  <c r="C520" i="5"/>
  <c r="D520" i="5"/>
  <c r="E520" i="5"/>
  <c r="B521" i="5"/>
  <c r="C521" i="5"/>
  <c r="D521" i="5"/>
  <c r="E521" i="5"/>
  <c r="B522" i="5"/>
  <c r="C522" i="5"/>
  <c r="D522" i="5"/>
  <c r="E522" i="5"/>
  <c r="B523" i="5"/>
  <c r="C523" i="5"/>
  <c r="D523" i="5"/>
  <c r="E523" i="5"/>
  <c r="B524" i="5"/>
  <c r="C524" i="5"/>
  <c r="D524" i="5"/>
  <c r="E524" i="5"/>
  <c r="B525" i="5"/>
  <c r="C525" i="5"/>
  <c r="D525" i="5"/>
  <c r="E525" i="5"/>
  <c r="B526" i="5"/>
  <c r="C526" i="5"/>
  <c r="D526" i="5"/>
  <c r="E526" i="5"/>
  <c r="B527" i="5"/>
  <c r="C527" i="5"/>
  <c r="D527" i="5"/>
  <c r="E527" i="5"/>
  <c r="B528" i="5"/>
  <c r="C528" i="5"/>
  <c r="D528" i="5"/>
  <c r="E528" i="5"/>
  <c r="B529" i="5"/>
  <c r="C529" i="5"/>
  <c r="D529" i="5"/>
  <c r="E529" i="5"/>
  <c r="B530" i="5"/>
  <c r="C530" i="5"/>
  <c r="D530" i="5"/>
  <c r="E530" i="5"/>
  <c r="B531" i="5"/>
  <c r="C531" i="5"/>
  <c r="D531" i="5"/>
  <c r="E531" i="5"/>
  <c r="B532" i="5"/>
  <c r="C532" i="5"/>
  <c r="D532" i="5"/>
  <c r="E532" i="5"/>
  <c r="B533" i="5"/>
  <c r="C533" i="5"/>
  <c r="D533" i="5"/>
  <c r="E533" i="5"/>
  <c r="B534" i="5"/>
  <c r="C534" i="5"/>
  <c r="D534" i="5"/>
  <c r="E534" i="5"/>
  <c r="B535" i="5"/>
  <c r="C535" i="5"/>
  <c r="D535" i="5"/>
  <c r="E535" i="5"/>
  <c r="B536" i="5"/>
  <c r="C536" i="5"/>
  <c r="D536" i="5"/>
  <c r="E536" i="5"/>
  <c r="B537" i="5"/>
  <c r="C537" i="5"/>
  <c r="D537" i="5"/>
  <c r="E537" i="5"/>
  <c r="B538" i="5"/>
  <c r="C538" i="5"/>
  <c r="D538" i="5"/>
  <c r="E538" i="5"/>
  <c r="B539" i="5"/>
  <c r="C539" i="5"/>
  <c r="D539" i="5"/>
  <c r="E539" i="5"/>
  <c r="B540" i="5"/>
  <c r="C540" i="5"/>
  <c r="D540" i="5"/>
  <c r="E540" i="5"/>
  <c r="B541" i="5"/>
  <c r="C541" i="5"/>
  <c r="D541" i="5"/>
  <c r="E541" i="5"/>
  <c r="B542" i="5"/>
  <c r="C542" i="5"/>
  <c r="D542" i="5"/>
  <c r="E542" i="5"/>
  <c r="B543" i="5"/>
  <c r="C543" i="5"/>
  <c r="D543" i="5"/>
  <c r="E543" i="5"/>
  <c r="B544" i="5"/>
  <c r="C544" i="5"/>
  <c r="D544" i="5"/>
  <c r="E544" i="5"/>
  <c r="B545" i="5"/>
  <c r="C545" i="5"/>
  <c r="D545" i="5"/>
  <c r="E545" i="5"/>
  <c r="B546" i="5"/>
  <c r="C546" i="5"/>
  <c r="D546" i="5"/>
  <c r="E546" i="5"/>
  <c r="B547" i="5"/>
  <c r="C547" i="5"/>
  <c r="D547" i="5"/>
  <c r="E547" i="5"/>
  <c r="B548" i="5"/>
  <c r="C548" i="5"/>
  <c r="D548" i="5"/>
  <c r="E548" i="5"/>
  <c r="B549" i="5"/>
  <c r="C549" i="5"/>
  <c r="D549" i="5"/>
  <c r="E549" i="5"/>
  <c r="B550" i="5"/>
  <c r="C550" i="5"/>
  <c r="D550" i="5"/>
  <c r="E550" i="5"/>
  <c r="B551" i="5"/>
  <c r="C551" i="5"/>
  <c r="D551" i="5"/>
  <c r="E551" i="5"/>
  <c r="B552" i="5"/>
  <c r="C552" i="5"/>
  <c r="D552" i="5"/>
  <c r="E552" i="5"/>
  <c r="B553" i="5"/>
  <c r="C553" i="5"/>
  <c r="D553" i="5"/>
  <c r="E553" i="5"/>
  <c r="B554" i="5"/>
  <c r="C554" i="5"/>
  <c r="D554" i="5"/>
  <c r="E554" i="5"/>
  <c r="B555" i="5"/>
  <c r="C555" i="5"/>
  <c r="D555" i="5"/>
  <c r="E555" i="5"/>
  <c r="B556" i="5"/>
  <c r="C556" i="5"/>
  <c r="D556" i="5"/>
  <c r="E556" i="5"/>
  <c r="B557" i="5"/>
  <c r="C557" i="5"/>
  <c r="D557" i="5"/>
  <c r="E557" i="5"/>
  <c r="B558" i="5"/>
  <c r="C558" i="5"/>
  <c r="D558" i="5"/>
  <c r="E558" i="5"/>
  <c r="B559" i="5"/>
  <c r="C559" i="5"/>
  <c r="D559" i="5"/>
  <c r="E559" i="5"/>
  <c r="B560" i="5"/>
  <c r="C560" i="5"/>
  <c r="D560" i="5"/>
  <c r="E560" i="5"/>
  <c r="B561" i="5"/>
  <c r="C561" i="5"/>
  <c r="D561" i="5"/>
  <c r="E561" i="5"/>
  <c r="B562" i="5"/>
  <c r="C562" i="5"/>
  <c r="D562" i="5"/>
  <c r="E562" i="5"/>
  <c r="B563" i="5"/>
  <c r="C563" i="5"/>
  <c r="D563" i="5"/>
  <c r="E563" i="5"/>
  <c r="B564" i="5"/>
  <c r="C564" i="5"/>
  <c r="D564" i="5"/>
  <c r="E564" i="5"/>
  <c r="B565" i="5"/>
  <c r="C565" i="5"/>
  <c r="D565" i="5"/>
  <c r="E565" i="5"/>
  <c r="B566" i="5"/>
  <c r="C566" i="5"/>
  <c r="D566" i="5"/>
  <c r="E566" i="5"/>
  <c r="B567" i="5"/>
  <c r="C567" i="5"/>
  <c r="D567" i="5"/>
  <c r="E567" i="5"/>
  <c r="B568" i="5"/>
  <c r="C568" i="5"/>
  <c r="D568" i="5"/>
  <c r="E568" i="5"/>
  <c r="B569" i="5"/>
  <c r="C569" i="5"/>
  <c r="D569" i="5"/>
  <c r="E569" i="5"/>
  <c r="B570" i="5"/>
  <c r="C570" i="5"/>
  <c r="D570" i="5"/>
  <c r="E570" i="5"/>
  <c r="B571" i="5"/>
  <c r="C571" i="5"/>
  <c r="D571" i="5"/>
  <c r="E571" i="5"/>
  <c r="B572" i="5"/>
  <c r="C572" i="5"/>
  <c r="D572" i="5"/>
  <c r="E572" i="5"/>
  <c r="B573" i="5"/>
  <c r="C573" i="5"/>
  <c r="D573" i="5"/>
  <c r="E573" i="5"/>
  <c r="B574" i="5"/>
  <c r="C574" i="5"/>
  <c r="D574" i="5"/>
  <c r="E574" i="5"/>
  <c r="B575" i="5"/>
  <c r="C575" i="5"/>
  <c r="D575" i="5"/>
  <c r="E575" i="5"/>
  <c r="B576" i="5"/>
  <c r="C576" i="5"/>
  <c r="D576" i="5"/>
  <c r="E576" i="5"/>
  <c r="B577" i="5"/>
  <c r="C577" i="5"/>
  <c r="D577" i="5"/>
  <c r="E577" i="5"/>
  <c r="B578" i="5"/>
  <c r="C578" i="5"/>
  <c r="D578" i="5"/>
  <c r="E578" i="5"/>
  <c r="B579" i="5"/>
  <c r="C579" i="5"/>
  <c r="D579" i="5"/>
  <c r="E579" i="5"/>
  <c r="B580" i="5"/>
  <c r="C580" i="5"/>
  <c r="D580" i="5"/>
  <c r="E580" i="5"/>
  <c r="B581" i="5"/>
  <c r="C581" i="5"/>
  <c r="D581" i="5"/>
  <c r="E581" i="5"/>
  <c r="B582" i="5"/>
  <c r="C582" i="5"/>
  <c r="D582" i="5"/>
  <c r="E582" i="5"/>
  <c r="B583" i="5"/>
  <c r="C583" i="5"/>
  <c r="D583" i="5"/>
  <c r="E583" i="5"/>
  <c r="B584" i="5"/>
  <c r="C584" i="5"/>
  <c r="D584" i="5"/>
  <c r="E584" i="5"/>
  <c r="B585" i="5"/>
  <c r="C585" i="5"/>
  <c r="D585" i="5"/>
  <c r="E585" i="5"/>
  <c r="B586" i="5"/>
  <c r="C586" i="5"/>
  <c r="D586" i="5"/>
  <c r="E586" i="5"/>
  <c r="B587" i="5"/>
  <c r="C587" i="5"/>
  <c r="D587" i="5"/>
  <c r="E587" i="5"/>
  <c r="B588" i="5"/>
  <c r="C588" i="5"/>
  <c r="D588" i="5"/>
  <c r="E588" i="5"/>
  <c r="B589" i="5"/>
  <c r="C589" i="5"/>
  <c r="D589" i="5"/>
  <c r="E589" i="5"/>
  <c r="B590" i="5"/>
  <c r="C590" i="5"/>
  <c r="D590" i="5"/>
  <c r="E590" i="5"/>
  <c r="B591" i="5"/>
  <c r="C591" i="5"/>
  <c r="D591" i="5"/>
  <c r="E591" i="5"/>
  <c r="B592" i="5"/>
  <c r="C592" i="5"/>
  <c r="D592" i="5"/>
  <c r="E592" i="5"/>
  <c r="B593" i="5"/>
  <c r="C593" i="5"/>
  <c r="D593" i="5"/>
  <c r="E593" i="5"/>
  <c r="B594" i="5"/>
  <c r="C594" i="5"/>
  <c r="D594" i="5"/>
  <c r="E594" i="5"/>
  <c r="B595" i="5"/>
  <c r="C595" i="5"/>
  <c r="D595" i="5"/>
  <c r="E595" i="5"/>
  <c r="B596" i="5"/>
  <c r="C596" i="5"/>
  <c r="D596" i="5"/>
  <c r="E596" i="5"/>
  <c r="B597" i="5"/>
  <c r="C597" i="5"/>
  <c r="D597" i="5"/>
  <c r="E597" i="5"/>
  <c r="B598" i="5"/>
  <c r="C598" i="5"/>
  <c r="D598" i="5"/>
  <c r="E598" i="5"/>
  <c r="B599" i="5"/>
  <c r="C599" i="5"/>
  <c r="D599" i="5"/>
  <c r="E599" i="5"/>
  <c r="B600" i="5"/>
  <c r="C600" i="5"/>
  <c r="D600" i="5"/>
  <c r="E600" i="5"/>
  <c r="B601" i="5"/>
  <c r="C601" i="5"/>
  <c r="D601" i="5"/>
  <c r="E601" i="5"/>
  <c r="B602" i="5"/>
  <c r="C602" i="5"/>
  <c r="D602" i="5"/>
  <c r="E602" i="5"/>
  <c r="B603" i="5"/>
  <c r="C603" i="5"/>
  <c r="D603" i="5"/>
  <c r="E603" i="5"/>
  <c r="B604" i="5"/>
  <c r="C604" i="5"/>
  <c r="D604" i="5"/>
  <c r="E604" i="5"/>
  <c r="B605" i="5"/>
  <c r="C605" i="5"/>
  <c r="D605" i="5"/>
  <c r="E605" i="5"/>
  <c r="B606" i="5"/>
  <c r="C606" i="5"/>
  <c r="D606" i="5"/>
  <c r="E606" i="5"/>
  <c r="B607" i="5"/>
  <c r="C607" i="5"/>
  <c r="D607" i="5"/>
  <c r="E607" i="5"/>
  <c r="B608" i="5"/>
  <c r="C608" i="5"/>
  <c r="D608" i="5"/>
  <c r="E608" i="5"/>
  <c r="B609" i="5"/>
  <c r="C609" i="5"/>
  <c r="D609" i="5"/>
  <c r="E609" i="5"/>
  <c r="B610" i="5"/>
  <c r="C610" i="5"/>
  <c r="D610" i="5"/>
  <c r="E610" i="5"/>
  <c r="B611" i="5"/>
  <c r="C611" i="5"/>
  <c r="D611" i="5"/>
  <c r="E611" i="5"/>
  <c r="B612" i="5"/>
  <c r="C612" i="5"/>
  <c r="D612" i="5"/>
  <c r="E612" i="5"/>
  <c r="B613" i="5"/>
  <c r="C613" i="5"/>
  <c r="D613" i="5"/>
  <c r="E613" i="5"/>
  <c r="B614" i="5"/>
  <c r="C614" i="5"/>
  <c r="D614" i="5"/>
  <c r="E614" i="5"/>
  <c r="B615" i="5"/>
  <c r="C615" i="5"/>
  <c r="D615" i="5"/>
  <c r="E615" i="5"/>
  <c r="B616" i="5"/>
  <c r="C616" i="5"/>
  <c r="D616" i="5"/>
  <c r="E616" i="5"/>
  <c r="B617" i="5"/>
  <c r="C617" i="5"/>
  <c r="D617" i="5"/>
  <c r="E617" i="5"/>
  <c r="B618" i="5"/>
  <c r="C618" i="5"/>
  <c r="D618" i="5"/>
  <c r="E618" i="5"/>
  <c r="B619" i="5"/>
  <c r="C619" i="5"/>
  <c r="D619" i="5"/>
  <c r="E619" i="5"/>
  <c r="B620" i="5"/>
  <c r="C620" i="5"/>
  <c r="D620" i="5"/>
  <c r="E620" i="5"/>
  <c r="B621" i="5"/>
  <c r="C621" i="5"/>
  <c r="D621" i="5"/>
  <c r="E621" i="5"/>
  <c r="B622" i="5"/>
  <c r="C622" i="5"/>
  <c r="D622" i="5"/>
  <c r="E622" i="5"/>
  <c r="B623" i="5"/>
  <c r="C623" i="5"/>
  <c r="D623" i="5"/>
  <c r="E623" i="5"/>
  <c r="B624" i="5"/>
  <c r="C624" i="5"/>
  <c r="D624" i="5"/>
  <c r="E624" i="5"/>
  <c r="B625" i="5"/>
  <c r="C625" i="5"/>
  <c r="D625" i="5"/>
  <c r="E625" i="5"/>
  <c r="B626" i="5"/>
  <c r="C626" i="5"/>
  <c r="D626" i="5"/>
  <c r="E626" i="5"/>
  <c r="B627" i="5"/>
  <c r="C627" i="5"/>
  <c r="D627" i="5"/>
  <c r="E627" i="5"/>
  <c r="B628" i="5"/>
  <c r="C628" i="5"/>
  <c r="D628" i="5"/>
  <c r="E628" i="5"/>
  <c r="B629" i="5"/>
  <c r="C629" i="5"/>
  <c r="D629" i="5"/>
  <c r="E629" i="5"/>
  <c r="B630" i="5"/>
  <c r="C630" i="5"/>
  <c r="D630" i="5"/>
  <c r="E630" i="5"/>
  <c r="B631" i="5"/>
  <c r="C631" i="5"/>
  <c r="D631" i="5"/>
  <c r="E631" i="5"/>
  <c r="B632" i="5"/>
  <c r="C632" i="5"/>
  <c r="D632" i="5"/>
  <c r="E632" i="5"/>
  <c r="B633" i="5"/>
  <c r="C633" i="5"/>
  <c r="D633" i="5"/>
  <c r="E633" i="5"/>
  <c r="B634" i="5"/>
  <c r="C634" i="5"/>
  <c r="D634" i="5"/>
  <c r="E634" i="5"/>
  <c r="B635" i="5"/>
  <c r="C635" i="5"/>
  <c r="D635" i="5"/>
  <c r="E635" i="5"/>
  <c r="B636" i="5"/>
  <c r="C636" i="5"/>
  <c r="D636" i="5"/>
  <c r="E636" i="5"/>
  <c r="B637" i="5"/>
  <c r="C637" i="5"/>
  <c r="D637" i="5"/>
  <c r="E637" i="5"/>
  <c r="B638" i="5"/>
  <c r="C638" i="5"/>
  <c r="D638" i="5"/>
  <c r="E638" i="5"/>
  <c r="B639" i="5"/>
  <c r="C639" i="5"/>
  <c r="D639" i="5"/>
  <c r="E639" i="5"/>
  <c r="B640" i="5"/>
  <c r="C640" i="5"/>
  <c r="D640" i="5"/>
  <c r="E640" i="5"/>
  <c r="B641" i="5"/>
  <c r="C641" i="5"/>
  <c r="D641" i="5"/>
  <c r="E641" i="5"/>
  <c r="B642" i="5"/>
  <c r="C642" i="5"/>
  <c r="D642" i="5"/>
  <c r="E642" i="5"/>
  <c r="B643" i="5"/>
  <c r="C643" i="5"/>
  <c r="D643" i="5"/>
  <c r="E643" i="5"/>
  <c r="B644" i="5"/>
  <c r="C644" i="5"/>
  <c r="D644" i="5"/>
  <c r="E644" i="5"/>
  <c r="B645" i="5"/>
  <c r="C645" i="5"/>
  <c r="D645" i="5"/>
  <c r="E645" i="5"/>
  <c r="B646" i="5"/>
  <c r="C646" i="5"/>
  <c r="D646" i="5"/>
  <c r="E646" i="5"/>
  <c r="B647" i="5"/>
  <c r="C647" i="5"/>
  <c r="D647" i="5"/>
  <c r="E647" i="5"/>
  <c r="B648" i="5"/>
  <c r="C648" i="5"/>
  <c r="D648" i="5"/>
  <c r="E648" i="5"/>
  <c r="B649" i="5"/>
  <c r="C649" i="5"/>
  <c r="D649" i="5"/>
  <c r="E649" i="5"/>
  <c r="B650" i="5"/>
  <c r="C650" i="5"/>
  <c r="D650" i="5"/>
  <c r="E650" i="5"/>
  <c r="B651" i="5"/>
  <c r="C651" i="5"/>
  <c r="D651" i="5"/>
  <c r="E651" i="5"/>
  <c r="B652" i="5"/>
  <c r="C652" i="5"/>
  <c r="D652" i="5"/>
  <c r="E652" i="5"/>
  <c r="B653" i="5"/>
  <c r="C653" i="5"/>
  <c r="D653" i="5"/>
  <c r="E653" i="5"/>
  <c r="B654" i="5"/>
  <c r="C654" i="5"/>
  <c r="D654" i="5"/>
  <c r="E654" i="5"/>
  <c r="B655" i="5"/>
  <c r="C655" i="5"/>
  <c r="D655" i="5"/>
  <c r="E655" i="5"/>
  <c r="B656" i="5"/>
  <c r="C656" i="5"/>
  <c r="D656" i="5"/>
  <c r="E656" i="5"/>
  <c r="B657" i="5"/>
  <c r="C657" i="5"/>
  <c r="D657" i="5"/>
  <c r="E657" i="5"/>
  <c r="B658" i="5"/>
  <c r="C658" i="5"/>
  <c r="D658" i="5"/>
  <c r="E658" i="5"/>
  <c r="B659" i="5"/>
  <c r="C659" i="5"/>
  <c r="D659" i="5"/>
  <c r="E659" i="5"/>
  <c r="B660" i="5"/>
  <c r="C660" i="5"/>
  <c r="D660" i="5"/>
  <c r="E660" i="5"/>
  <c r="B661" i="5"/>
  <c r="C661" i="5"/>
  <c r="D661" i="5"/>
  <c r="E661" i="5"/>
  <c r="B662" i="5"/>
  <c r="C662" i="5"/>
  <c r="D662" i="5"/>
  <c r="E662" i="5"/>
  <c r="B663" i="5"/>
  <c r="C663" i="5"/>
  <c r="D663" i="5"/>
  <c r="E663" i="5"/>
  <c r="B664" i="5"/>
  <c r="C664" i="5"/>
  <c r="D664" i="5"/>
  <c r="E664" i="5"/>
  <c r="B665" i="5"/>
  <c r="C665" i="5"/>
  <c r="D665" i="5"/>
  <c r="E665" i="5"/>
  <c r="B666" i="5"/>
  <c r="C666" i="5"/>
  <c r="D666" i="5"/>
  <c r="E666" i="5"/>
  <c r="B667" i="5"/>
  <c r="C667" i="5"/>
  <c r="D667" i="5"/>
  <c r="E667" i="5"/>
  <c r="B668" i="5"/>
  <c r="C668" i="5"/>
  <c r="D668" i="5"/>
  <c r="E668" i="5"/>
  <c r="B669" i="5"/>
  <c r="C669" i="5"/>
  <c r="D669" i="5"/>
  <c r="E669" i="5"/>
  <c r="B670" i="5"/>
  <c r="C670" i="5"/>
  <c r="D670" i="5"/>
  <c r="E670" i="5"/>
  <c r="B671" i="5"/>
  <c r="C671" i="5"/>
  <c r="D671" i="5"/>
  <c r="E671" i="5"/>
  <c r="B672" i="5"/>
  <c r="C672" i="5"/>
  <c r="D672" i="5"/>
  <c r="E672" i="5"/>
  <c r="B673" i="5"/>
  <c r="C673" i="5"/>
  <c r="D673" i="5"/>
  <c r="E673" i="5"/>
  <c r="B674" i="5"/>
  <c r="C674" i="5"/>
  <c r="D674" i="5"/>
  <c r="E674" i="5"/>
  <c r="B675" i="5"/>
  <c r="C675" i="5"/>
  <c r="D675" i="5"/>
  <c r="E675" i="5"/>
  <c r="B676" i="5"/>
  <c r="C676" i="5"/>
  <c r="D676" i="5"/>
  <c r="E676" i="5"/>
  <c r="B677" i="5"/>
  <c r="C677" i="5"/>
  <c r="D677" i="5"/>
  <c r="E677" i="5"/>
  <c r="B678" i="5"/>
  <c r="C678" i="5"/>
  <c r="D678" i="5"/>
  <c r="E678" i="5"/>
  <c r="B679" i="5"/>
  <c r="C679" i="5"/>
  <c r="D679" i="5"/>
  <c r="E679" i="5"/>
  <c r="B680" i="5"/>
  <c r="C680" i="5"/>
  <c r="D680" i="5"/>
  <c r="E680" i="5"/>
  <c r="B681" i="5"/>
  <c r="C681" i="5"/>
  <c r="D681" i="5"/>
  <c r="E681" i="5"/>
  <c r="B682" i="5"/>
  <c r="C682" i="5"/>
  <c r="D682" i="5"/>
  <c r="E682" i="5"/>
  <c r="B683" i="5"/>
  <c r="C683" i="5"/>
  <c r="D683" i="5"/>
  <c r="E683" i="5"/>
  <c r="B684" i="5"/>
  <c r="C684" i="5"/>
  <c r="D684" i="5"/>
  <c r="E684" i="5"/>
  <c r="B685" i="5"/>
  <c r="C685" i="5"/>
  <c r="D685" i="5"/>
  <c r="E685" i="5"/>
  <c r="B686" i="5"/>
  <c r="C686" i="5"/>
  <c r="D686" i="5"/>
  <c r="E686" i="5"/>
  <c r="B687" i="5"/>
  <c r="C687" i="5"/>
  <c r="D687" i="5"/>
  <c r="E687" i="5"/>
  <c r="B688" i="5"/>
  <c r="C688" i="5"/>
  <c r="D688" i="5"/>
  <c r="E688" i="5"/>
  <c r="B689" i="5"/>
  <c r="C689" i="5"/>
  <c r="D689" i="5"/>
  <c r="E689" i="5"/>
  <c r="B690" i="5"/>
  <c r="C690" i="5"/>
  <c r="D690" i="5"/>
  <c r="E690" i="5"/>
  <c r="B691" i="5"/>
  <c r="C691" i="5"/>
  <c r="D691" i="5"/>
  <c r="E691" i="5"/>
  <c r="B692" i="5"/>
  <c r="C692" i="5"/>
  <c r="D692" i="5"/>
  <c r="E692" i="5"/>
  <c r="B693" i="5"/>
  <c r="C693" i="5"/>
  <c r="D693" i="5"/>
  <c r="E693" i="5"/>
  <c r="B694" i="5"/>
  <c r="C694" i="5"/>
  <c r="D694" i="5"/>
  <c r="E694" i="5"/>
  <c r="B695" i="5"/>
  <c r="C695" i="5"/>
  <c r="D695" i="5"/>
  <c r="E695" i="5"/>
  <c r="B696" i="5"/>
  <c r="C696" i="5"/>
  <c r="D696" i="5"/>
  <c r="E696" i="5"/>
  <c r="B697" i="5"/>
  <c r="C697" i="5"/>
  <c r="D697" i="5"/>
  <c r="E697" i="5"/>
  <c r="B698" i="5"/>
  <c r="C698" i="5"/>
  <c r="D698" i="5"/>
  <c r="E698" i="5"/>
  <c r="B699" i="5"/>
  <c r="C699" i="5"/>
  <c r="D699" i="5"/>
  <c r="E699" i="5"/>
  <c r="B700" i="5"/>
  <c r="C700" i="5"/>
  <c r="D700" i="5"/>
  <c r="E700" i="5"/>
  <c r="B701" i="5"/>
  <c r="C701" i="5"/>
  <c r="D701" i="5"/>
  <c r="E701" i="5"/>
  <c r="B702" i="5"/>
  <c r="C702" i="5"/>
  <c r="D702" i="5"/>
  <c r="E702" i="5"/>
  <c r="B703" i="5"/>
  <c r="C703" i="5"/>
  <c r="D703" i="5"/>
  <c r="E703" i="5"/>
  <c r="B704" i="5"/>
  <c r="C704" i="5"/>
  <c r="D704" i="5"/>
  <c r="E704" i="5"/>
  <c r="B705" i="5"/>
  <c r="C705" i="5"/>
  <c r="D705" i="5"/>
  <c r="E705" i="5"/>
  <c r="B706" i="5"/>
  <c r="C706" i="5"/>
  <c r="D706" i="5"/>
  <c r="E706" i="5"/>
  <c r="B707" i="5"/>
  <c r="C707" i="5"/>
  <c r="D707" i="5"/>
  <c r="E707" i="5"/>
  <c r="B708" i="5"/>
  <c r="C708" i="5"/>
  <c r="D708" i="5"/>
  <c r="E708" i="5"/>
  <c r="B709" i="5"/>
  <c r="C709" i="5"/>
  <c r="D709" i="5"/>
  <c r="E709" i="5"/>
  <c r="B710" i="5"/>
  <c r="C710" i="5"/>
  <c r="D710" i="5"/>
  <c r="E710" i="5"/>
  <c r="B711" i="5"/>
  <c r="C711" i="5"/>
  <c r="D711" i="5"/>
  <c r="E711" i="5"/>
  <c r="B712" i="5"/>
  <c r="C712" i="5"/>
  <c r="D712" i="5"/>
  <c r="E712" i="5"/>
  <c r="B713" i="5"/>
  <c r="C713" i="5"/>
  <c r="D713" i="5"/>
  <c r="E713" i="5"/>
  <c r="B714" i="5"/>
  <c r="C714" i="5"/>
  <c r="D714" i="5"/>
  <c r="E714" i="5"/>
  <c r="B715" i="5"/>
  <c r="C715" i="5"/>
  <c r="D715" i="5"/>
  <c r="E715" i="5"/>
  <c r="B716" i="5"/>
  <c r="C716" i="5"/>
  <c r="D716" i="5"/>
  <c r="E716" i="5"/>
  <c r="B717" i="5"/>
  <c r="C717" i="5"/>
  <c r="D717" i="5"/>
  <c r="E717" i="5"/>
  <c r="B718" i="5"/>
  <c r="C718" i="5"/>
  <c r="D718" i="5"/>
  <c r="E718" i="5"/>
  <c r="B719" i="5"/>
  <c r="C719" i="5"/>
  <c r="D719" i="5"/>
  <c r="E719" i="5"/>
  <c r="B720" i="5"/>
  <c r="C720" i="5"/>
  <c r="D720" i="5"/>
  <c r="E720" i="5"/>
  <c r="B721" i="5"/>
  <c r="C721" i="5"/>
  <c r="D721" i="5"/>
  <c r="E721" i="5"/>
  <c r="B722" i="5"/>
  <c r="C722" i="5"/>
  <c r="D722" i="5"/>
  <c r="E722" i="5"/>
  <c r="B723" i="5"/>
  <c r="C723" i="5"/>
  <c r="D723" i="5"/>
  <c r="E723" i="5"/>
  <c r="B724" i="5"/>
  <c r="C724" i="5"/>
  <c r="D724" i="5"/>
  <c r="E724" i="5"/>
  <c r="B725" i="5"/>
  <c r="C725" i="5"/>
  <c r="D725" i="5"/>
  <c r="E725" i="5"/>
  <c r="B726" i="5"/>
  <c r="C726" i="5"/>
  <c r="D726" i="5"/>
  <c r="E726" i="5"/>
  <c r="B727" i="5"/>
  <c r="C727" i="5"/>
  <c r="D727" i="5"/>
  <c r="E727" i="5"/>
  <c r="B728" i="5"/>
  <c r="C728" i="5"/>
  <c r="D728" i="5"/>
  <c r="E728" i="5"/>
  <c r="B729" i="5"/>
  <c r="C729" i="5"/>
  <c r="D729" i="5"/>
  <c r="E729" i="5"/>
  <c r="B730" i="5"/>
  <c r="C730" i="5"/>
  <c r="D730" i="5"/>
  <c r="E730" i="5"/>
  <c r="B731" i="5"/>
  <c r="C731" i="5"/>
  <c r="D731" i="5"/>
  <c r="E731" i="5"/>
  <c r="B732" i="5"/>
  <c r="C732" i="5"/>
  <c r="D732" i="5"/>
  <c r="E732" i="5"/>
  <c r="B733" i="5"/>
  <c r="C733" i="5"/>
  <c r="D733" i="5"/>
  <c r="E733" i="5"/>
  <c r="B734" i="5"/>
  <c r="C734" i="5"/>
  <c r="D734" i="5"/>
  <c r="E734" i="5"/>
  <c r="B735" i="5"/>
  <c r="C735" i="5"/>
  <c r="D735" i="5"/>
  <c r="E735" i="5"/>
  <c r="B736" i="5"/>
  <c r="C736" i="5"/>
  <c r="D736" i="5"/>
  <c r="E736" i="5"/>
  <c r="B737" i="5"/>
  <c r="C737" i="5"/>
  <c r="D737" i="5"/>
  <c r="E737" i="5"/>
  <c r="B738" i="5"/>
  <c r="C738" i="5"/>
  <c r="D738" i="5"/>
  <c r="E738" i="5"/>
  <c r="B739" i="5"/>
  <c r="C739" i="5"/>
  <c r="D739" i="5"/>
  <c r="E739" i="5"/>
  <c r="B740" i="5"/>
  <c r="C740" i="5"/>
  <c r="D740" i="5"/>
  <c r="E740" i="5"/>
  <c r="B741" i="5"/>
  <c r="C741" i="5"/>
  <c r="D741" i="5"/>
  <c r="E741" i="5"/>
  <c r="B742" i="5"/>
  <c r="C742" i="5"/>
  <c r="D742" i="5"/>
  <c r="E742" i="5"/>
  <c r="B743" i="5"/>
  <c r="C743" i="5"/>
  <c r="D743" i="5"/>
  <c r="E743" i="5"/>
  <c r="B744" i="5"/>
  <c r="C744" i="5"/>
  <c r="D744" i="5"/>
  <c r="E744" i="5"/>
  <c r="B745" i="5"/>
  <c r="C745" i="5"/>
  <c r="D745" i="5"/>
  <c r="E745" i="5"/>
  <c r="B746" i="5"/>
  <c r="C746" i="5"/>
  <c r="D746" i="5"/>
  <c r="E746" i="5"/>
  <c r="B747" i="5"/>
  <c r="C747" i="5"/>
  <c r="D747" i="5"/>
  <c r="E747" i="5"/>
  <c r="B748" i="5"/>
  <c r="C748" i="5"/>
  <c r="D748" i="5"/>
  <c r="E748" i="5"/>
  <c r="B749" i="5"/>
  <c r="C749" i="5"/>
  <c r="D749" i="5"/>
  <c r="E749" i="5"/>
  <c r="B750" i="5"/>
  <c r="C750" i="5"/>
  <c r="D750" i="5"/>
  <c r="E750" i="5"/>
  <c r="B751" i="5"/>
  <c r="C751" i="5"/>
  <c r="D751" i="5"/>
  <c r="E751" i="5"/>
  <c r="B752" i="5"/>
  <c r="C752" i="5"/>
  <c r="D752" i="5"/>
  <c r="E752" i="5"/>
  <c r="B753" i="5"/>
  <c r="C753" i="5"/>
  <c r="D753" i="5"/>
  <c r="E753" i="5"/>
  <c r="B754" i="5"/>
  <c r="C754" i="5"/>
  <c r="D754" i="5"/>
  <c r="E754" i="5"/>
  <c r="B755" i="5"/>
  <c r="C755" i="5"/>
  <c r="D755" i="5"/>
  <c r="E755" i="5"/>
  <c r="B756" i="5"/>
  <c r="C756" i="5"/>
  <c r="D756" i="5"/>
  <c r="E756" i="5"/>
  <c r="B757" i="5"/>
  <c r="C757" i="5"/>
  <c r="D757" i="5"/>
  <c r="E757" i="5"/>
  <c r="B758" i="5"/>
  <c r="C758" i="5"/>
  <c r="D758" i="5"/>
  <c r="E758" i="5"/>
  <c r="B759" i="5"/>
  <c r="C759" i="5"/>
  <c r="D759" i="5"/>
  <c r="E759" i="5"/>
  <c r="B760" i="5"/>
  <c r="C760" i="5"/>
  <c r="D760" i="5"/>
  <c r="E760" i="5"/>
  <c r="B761" i="5"/>
  <c r="C761" i="5"/>
  <c r="D761" i="5"/>
  <c r="E761" i="5"/>
  <c r="B762" i="5"/>
  <c r="C762" i="5"/>
  <c r="D762" i="5"/>
  <c r="E762" i="5"/>
  <c r="B763" i="5"/>
  <c r="C763" i="5"/>
  <c r="D763" i="5"/>
  <c r="E763" i="5"/>
  <c r="B764" i="5"/>
  <c r="C764" i="5"/>
  <c r="D764" i="5"/>
  <c r="E764" i="5"/>
  <c r="B765" i="5"/>
  <c r="C765" i="5"/>
  <c r="D765" i="5"/>
  <c r="E765" i="5"/>
  <c r="B766" i="5"/>
  <c r="C766" i="5"/>
  <c r="D766" i="5"/>
  <c r="E766" i="5"/>
  <c r="B767" i="5"/>
  <c r="C767" i="5"/>
  <c r="D767" i="5"/>
  <c r="E767" i="5"/>
  <c r="B768" i="5"/>
  <c r="C768" i="5"/>
  <c r="D768" i="5"/>
  <c r="E768" i="5"/>
  <c r="B769" i="5"/>
  <c r="C769" i="5"/>
  <c r="D769" i="5"/>
  <c r="E769" i="5"/>
  <c r="B770" i="5"/>
  <c r="C770" i="5"/>
  <c r="D770" i="5"/>
  <c r="E770" i="5"/>
  <c r="B771" i="5"/>
  <c r="C771" i="5"/>
  <c r="D771" i="5"/>
  <c r="E771" i="5"/>
  <c r="B772" i="5"/>
  <c r="C772" i="5"/>
  <c r="D772" i="5"/>
  <c r="E772" i="5"/>
  <c r="B773" i="5"/>
  <c r="C773" i="5"/>
  <c r="D773" i="5"/>
  <c r="E773" i="5"/>
  <c r="B774" i="5"/>
  <c r="C774" i="5"/>
  <c r="D774" i="5"/>
  <c r="E774" i="5"/>
  <c r="B775" i="5"/>
  <c r="C775" i="5"/>
  <c r="D775" i="5"/>
  <c r="E775" i="5"/>
  <c r="B776" i="5"/>
  <c r="C776" i="5"/>
  <c r="D776" i="5"/>
  <c r="E776" i="5"/>
  <c r="B777" i="5"/>
  <c r="C777" i="5"/>
  <c r="D777" i="5"/>
  <c r="E777" i="5"/>
  <c r="B778" i="5"/>
  <c r="C778" i="5"/>
  <c r="D778" i="5"/>
  <c r="E778" i="5"/>
  <c r="B779" i="5"/>
  <c r="C779" i="5"/>
  <c r="D779" i="5"/>
  <c r="E779" i="5"/>
  <c r="B780" i="5"/>
  <c r="C780" i="5"/>
  <c r="D780" i="5"/>
  <c r="E780" i="5"/>
  <c r="B781" i="5"/>
  <c r="C781" i="5"/>
  <c r="D781" i="5"/>
  <c r="E781" i="5"/>
  <c r="B782" i="5"/>
  <c r="C782" i="5"/>
  <c r="D782" i="5"/>
  <c r="E782" i="5"/>
  <c r="B783" i="5"/>
  <c r="C783" i="5"/>
  <c r="D783" i="5"/>
  <c r="E783" i="5"/>
  <c r="B784" i="5"/>
  <c r="C784" i="5"/>
  <c r="D784" i="5"/>
  <c r="E784" i="5"/>
  <c r="B785" i="5"/>
  <c r="C785" i="5"/>
  <c r="D785" i="5"/>
  <c r="E785" i="5"/>
  <c r="B786" i="5"/>
  <c r="C786" i="5"/>
  <c r="D786" i="5"/>
  <c r="E786" i="5"/>
  <c r="B787" i="5"/>
  <c r="C787" i="5"/>
  <c r="D787" i="5"/>
  <c r="E787" i="5"/>
  <c r="B788" i="5"/>
  <c r="C788" i="5"/>
  <c r="D788" i="5"/>
  <c r="E788" i="5"/>
  <c r="B789" i="5"/>
  <c r="C789" i="5"/>
  <c r="D789" i="5"/>
  <c r="E789" i="5"/>
  <c r="B790" i="5"/>
  <c r="C790" i="5"/>
  <c r="D790" i="5"/>
  <c r="E790" i="5"/>
  <c r="B791" i="5"/>
  <c r="C791" i="5"/>
  <c r="D791" i="5"/>
  <c r="E791" i="5"/>
  <c r="B792" i="5"/>
  <c r="C792" i="5"/>
  <c r="D792" i="5"/>
  <c r="E792" i="5"/>
  <c r="B793" i="5"/>
  <c r="C793" i="5"/>
  <c r="D793" i="5"/>
  <c r="E793" i="5"/>
  <c r="B794" i="5"/>
  <c r="C794" i="5"/>
  <c r="D794" i="5"/>
  <c r="E794" i="5"/>
  <c r="B795" i="5"/>
  <c r="C795" i="5"/>
  <c r="D795" i="5"/>
  <c r="E795" i="5"/>
  <c r="B796" i="5"/>
  <c r="C796" i="5"/>
  <c r="D796" i="5"/>
  <c r="E796" i="5"/>
  <c r="B8" i="5"/>
  <c r="E8" i="5"/>
  <c r="G88" i="3"/>
  <c r="C88" i="5" s="1"/>
  <c r="G89" i="3"/>
  <c r="C89" i="5" s="1"/>
  <c r="G90" i="3"/>
  <c r="C90" i="5" s="1"/>
  <c r="G91" i="3"/>
  <c r="C91" i="5" s="1"/>
  <c r="G92" i="3"/>
  <c r="C92" i="5" s="1"/>
  <c r="G93" i="3"/>
  <c r="C93" i="5" s="1"/>
  <c r="G94" i="3"/>
  <c r="C94" i="5" s="1"/>
  <c r="G95" i="3"/>
  <c r="C95" i="5" s="1"/>
  <c r="G96" i="3"/>
  <c r="C96" i="5" s="1"/>
  <c r="G97" i="3"/>
  <c r="C97" i="5" s="1"/>
  <c r="G98" i="3"/>
  <c r="C98" i="5" s="1"/>
  <c r="G99" i="3"/>
  <c r="C99" i="5" s="1"/>
  <c r="G100" i="3"/>
  <c r="C100" i="5" s="1"/>
  <c r="G101" i="3"/>
  <c r="C101" i="5" s="1"/>
  <c r="G102" i="3"/>
  <c r="C102" i="5" s="1"/>
  <c r="G103" i="3"/>
  <c r="C103" i="5" s="1"/>
  <c r="G104" i="3"/>
  <c r="C104" i="5" s="1"/>
  <c r="G105" i="3"/>
  <c r="C105" i="5" s="1"/>
  <c r="G106" i="3"/>
  <c r="C106" i="5" s="1"/>
  <c r="G107" i="3"/>
  <c r="C107" i="5" s="1"/>
  <c r="G108" i="3"/>
  <c r="C108" i="5" s="1"/>
  <c r="G109" i="3"/>
  <c r="C109" i="5" s="1"/>
  <c r="G110" i="3"/>
  <c r="C110" i="5" s="1"/>
  <c r="G111" i="3"/>
  <c r="C111" i="5" s="1"/>
  <c r="G112" i="3"/>
  <c r="C112" i="5" s="1"/>
  <c r="G113" i="3"/>
  <c r="C113" i="5" s="1"/>
  <c r="G114" i="3"/>
  <c r="C114" i="5" s="1"/>
  <c r="G115" i="3"/>
  <c r="C115" i="5" s="1"/>
  <c r="G116" i="3"/>
  <c r="C116" i="5" s="1"/>
  <c r="G117" i="3"/>
  <c r="C117" i="5" s="1"/>
  <c r="G118" i="3"/>
  <c r="C118" i="5" s="1"/>
  <c r="G119" i="3"/>
  <c r="C119" i="5" s="1"/>
  <c r="G120" i="3"/>
  <c r="C120" i="5" s="1"/>
  <c r="G121" i="3"/>
  <c r="C121" i="5" s="1"/>
  <c r="G122" i="3"/>
  <c r="C122" i="5" s="1"/>
  <c r="G123" i="3"/>
  <c r="C123" i="5" s="1"/>
  <c r="G124" i="3"/>
  <c r="C124" i="5" s="1"/>
  <c r="G125" i="3"/>
  <c r="C125" i="5" s="1"/>
  <c r="G126" i="3"/>
  <c r="C126" i="5" s="1"/>
  <c r="G127" i="3"/>
  <c r="C127" i="5" s="1"/>
  <c r="G128" i="3"/>
  <c r="C128" i="5" s="1"/>
  <c r="G129" i="3"/>
  <c r="C129" i="5" s="1"/>
  <c r="G130" i="3"/>
  <c r="C130" i="5" s="1"/>
  <c r="G131" i="3"/>
  <c r="C131" i="5" s="1"/>
  <c r="G132" i="3"/>
  <c r="C132" i="5" s="1"/>
  <c r="G133" i="3"/>
  <c r="C133" i="5" s="1"/>
  <c r="G134" i="3"/>
  <c r="C134" i="5" s="1"/>
  <c r="G135" i="3"/>
  <c r="C135" i="5" s="1"/>
  <c r="G136" i="3"/>
  <c r="C136" i="5" s="1"/>
  <c r="G137" i="3"/>
  <c r="C137" i="5" s="1"/>
  <c r="G138" i="3"/>
  <c r="C138" i="5" s="1"/>
  <c r="G139" i="3"/>
  <c r="C139" i="5" s="1"/>
  <c r="G140" i="3"/>
  <c r="C140" i="5" s="1"/>
  <c r="G141" i="3"/>
  <c r="C141" i="5" s="1"/>
  <c r="G142" i="3"/>
  <c r="C142" i="5" s="1"/>
  <c r="G143" i="3"/>
  <c r="C143" i="5" s="1"/>
  <c r="G144" i="3"/>
  <c r="C144" i="5" s="1"/>
  <c r="G145" i="3"/>
  <c r="C145" i="5" s="1"/>
  <c r="G146" i="3"/>
  <c r="C146" i="5" s="1"/>
  <c r="G147" i="3"/>
  <c r="C147" i="5" s="1"/>
  <c r="G148" i="3"/>
  <c r="C148" i="5" s="1"/>
  <c r="G149" i="3"/>
  <c r="C149" i="5" s="1"/>
  <c r="G150" i="3"/>
  <c r="C150" i="5" s="1"/>
  <c r="G151" i="3"/>
  <c r="C151" i="5" s="1"/>
  <c r="G152" i="3"/>
  <c r="C152" i="5" s="1"/>
  <c r="G153" i="3"/>
  <c r="C153" i="5" s="1"/>
  <c r="G154" i="3"/>
  <c r="C154" i="5" s="1"/>
  <c r="G155" i="3"/>
  <c r="C155" i="5" s="1"/>
  <c r="G156" i="3"/>
  <c r="C156" i="5" s="1"/>
  <c r="G157" i="3"/>
  <c r="C157" i="5" s="1"/>
  <c r="G158" i="3"/>
  <c r="C158" i="5" s="1"/>
  <c r="G159" i="3"/>
  <c r="C159" i="5" s="1"/>
  <c r="G160" i="3"/>
  <c r="C160" i="5" s="1"/>
  <c r="G161" i="3"/>
  <c r="C161" i="5" s="1"/>
  <c r="G162" i="3"/>
  <c r="C162" i="5" s="1"/>
  <c r="G163" i="3"/>
  <c r="C163" i="5" s="1"/>
  <c r="G164" i="3"/>
  <c r="C164" i="5" s="1"/>
  <c r="G165" i="3"/>
  <c r="C165" i="5" s="1"/>
  <c r="G166" i="3"/>
  <c r="C166" i="5" s="1"/>
  <c r="G167" i="3"/>
  <c r="C167" i="5" s="1"/>
  <c r="G168" i="3"/>
  <c r="C168" i="5" s="1"/>
  <c r="G169" i="3"/>
  <c r="C169" i="5" s="1"/>
  <c r="G170" i="3"/>
  <c r="C170" i="5" s="1"/>
  <c r="G171" i="3"/>
  <c r="C171" i="5" s="1"/>
  <c r="G172" i="3"/>
  <c r="C172" i="5" s="1"/>
  <c r="G173" i="3"/>
  <c r="C173" i="5" s="1"/>
  <c r="G174" i="3"/>
  <c r="C174" i="5" s="1"/>
  <c r="G175" i="3"/>
  <c r="C175" i="5" s="1"/>
  <c r="G176" i="3"/>
  <c r="C176" i="5" s="1"/>
  <c r="G177" i="3"/>
  <c r="C177" i="5" s="1"/>
  <c r="G178" i="3"/>
  <c r="C178" i="5" s="1"/>
  <c r="G179" i="3"/>
  <c r="C179" i="5" s="1"/>
  <c r="G180" i="3"/>
  <c r="C180" i="5" s="1"/>
  <c r="G181" i="3"/>
  <c r="C181" i="5" s="1"/>
  <c r="G182" i="3"/>
  <c r="C182" i="5" s="1"/>
  <c r="G183" i="3"/>
  <c r="C183" i="5" s="1"/>
  <c r="G184" i="3"/>
  <c r="C184" i="5" s="1"/>
  <c r="G185" i="3"/>
  <c r="C185" i="5" s="1"/>
  <c r="G186" i="3"/>
  <c r="C186" i="5" s="1"/>
  <c r="G187" i="3"/>
  <c r="C187" i="5" s="1"/>
  <c r="G188" i="3"/>
  <c r="C188" i="5" s="1"/>
  <c r="G189" i="3"/>
  <c r="C189" i="5" s="1"/>
  <c r="G190" i="3"/>
  <c r="C190" i="5" s="1"/>
  <c r="G191" i="3"/>
  <c r="C191" i="5" s="1"/>
  <c r="G192" i="3"/>
  <c r="C192" i="5" s="1"/>
  <c r="G193" i="3"/>
  <c r="C193" i="5" s="1"/>
  <c r="G194" i="3"/>
  <c r="C194" i="5" s="1"/>
  <c r="G195" i="3"/>
  <c r="C195" i="5" s="1"/>
  <c r="G196" i="3"/>
  <c r="C196" i="5" s="1"/>
  <c r="G197" i="3"/>
  <c r="C197" i="5" s="1"/>
  <c r="G198" i="3"/>
  <c r="C198" i="5" s="1"/>
  <c r="G199" i="3"/>
  <c r="C199" i="5" s="1"/>
  <c r="G200" i="3"/>
  <c r="C200" i="5" s="1"/>
  <c r="G201" i="3"/>
  <c r="C201" i="5" s="1"/>
  <c r="G202" i="3"/>
  <c r="C202" i="5" s="1"/>
  <c r="G203" i="3"/>
  <c r="C203" i="5" s="1"/>
  <c r="G204" i="3"/>
  <c r="C204" i="5" s="1"/>
  <c r="G205" i="3"/>
  <c r="C205" i="5" s="1"/>
  <c r="G206" i="3"/>
  <c r="C206" i="5" s="1"/>
  <c r="G207" i="3"/>
  <c r="C207" i="5" s="1"/>
  <c r="G208" i="3"/>
  <c r="C208" i="5" s="1"/>
  <c r="G209" i="3"/>
  <c r="C209" i="5" s="1"/>
  <c r="G210" i="3"/>
  <c r="C210" i="5" s="1"/>
  <c r="G211" i="3"/>
  <c r="C211" i="5" s="1"/>
  <c r="G212" i="3"/>
  <c r="C212" i="5" s="1"/>
  <c r="G213" i="3"/>
  <c r="C213" i="5" s="1"/>
  <c r="G214" i="3"/>
  <c r="C214" i="5" s="1"/>
  <c r="G215" i="3"/>
  <c r="C215" i="5" s="1"/>
  <c r="G216" i="3"/>
  <c r="C216" i="5" s="1"/>
  <c r="G217" i="3"/>
  <c r="C217" i="5" s="1"/>
  <c r="G218" i="3"/>
  <c r="C218" i="5" s="1"/>
  <c r="G219" i="3"/>
  <c r="C219" i="5" s="1"/>
  <c r="G220" i="3"/>
  <c r="C220" i="5" s="1"/>
  <c r="G221" i="3"/>
  <c r="C221" i="5" s="1"/>
  <c r="G222" i="3"/>
  <c r="C222" i="5" s="1"/>
  <c r="G223" i="3"/>
  <c r="C223" i="5" s="1"/>
  <c r="G224" i="3"/>
  <c r="C224" i="5" s="1"/>
  <c r="G225" i="3"/>
  <c r="C225" i="5" s="1"/>
  <c r="G226" i="3"/>
  <c r="C226" i="5" s="1"/>
  <c r="G227" i="3"/>
  <c r="C227" i="5" s="1"/>
  <c r="G228" i="3"/>
  <c r="C228" i="5" s="1"/>
  <c r="G229" i="3"/>
  <c r="C229" i="5" s="1"/>
  <c r="G230" i="3"/>
  <c r="C230" i="5" s="1"/>
  <c r="G231" i="3"/>
  <c r="C231" i="5" s="1"/>
  <c r="G232" i="3"/>
  <c r="C232" i="5" s="1"/>
  <c r="G233" i="3"/>
  <c r="C233" i="5" s="1"/>
  <c r="G234" i="3"/>
  <c r="C234" i="5" s="1"/>
  <c r="G235" i="3"/>
  <c r="C235" i="5" s="1"/>
  <c r="G236" i="3"/>
  <c r="C236" i="5" s="1"/>
  <c r="G237" i="3"/>
  <c r="C237" i="5" s="1"/>
  <c r="G238" i="3"/>
  <c r="C238" i="5" s="1"/>
  <c r="G239" i="3"/>
  <c r="C239" i="5" s="1"/>
  <c r="G240" i="3"/>
  <c r="C240" i="5" s="1"/>
  <c r="G241" i="3"/>
  <c r="C241" i="5" s="1"/>
  <c r="G242" i="3"/>
  <c r="C242" i="5" s="1"/>
  <c r="G243" i="3"/>
  <c r="C243" i="5" s="1"/>
  <c r="G244" i="3"/>
  <c r="C244" i="5" s="1"/>
  <c r="G245" i="3"/>
  <c r="C245" i="5" s="1"/>
  <c r="G246" i="3"/>
  <c r="C246" i="5" s="1"/>
  <c r="G247" i="3"/>
  <c r="C247" i="5" s="1"/>
  <c r="G248" i="3"/>
  <c r="C248" i="5" s="1"/>
  <c r="G249" i="3"/>
  <c r="C249" i="5" s="1"/>
  <c r="G250" i="3"/>
  <c r="C250" i="5" s="1"/>
  <c r="G251" i="3"/>
  <c r="C251" i="5" s="1"/>
  <c r="G252" i="3"/>
  <c r="C252" i="5" s="1"/>
  <c r="G253" i="3"/>
  <c r="C253" i="5" s="1"/>
  <c r="G254" i="3"/>
  <c r="C254" i="5" s="1"/>
  <c r="G255" i="3"/>
  <c r="C255" i="5" s="1"/>
  <c r="G256" i="3"/>
  <c r="C256" i="5" s="1"/>
  <c r="G257" i="3"/>
  <c r="C257" i="5" s="1"/>
  <c r="G258" i="3"/>
  <c r="C258" i="5" s="1"/>
  <c r="G259" i="3"/>
  <c r="C259" i="5" s="1"/>
  <c r="G260" i="3"/>
  <c r="C260" i="5" s="1"/>
  <c r="G261" i="3"/>
  <c r="C261" i="5" s="1"/>
  <c r="G262" i="3"/>
  <c r="C262" i="5" s="1"/>
  <c r="G263" i="3"/>
  <c r="C263" i="5" s="1"/>
  <c r="G264" i="3"/>
  <c r="C264" i="5" s="1"/>
  <c r="G265" i="3"/>
  <c r="C265" i="5" s="1"/>
  <c r="G266" i="3"/>
  <c r="C266" i="5" s="1"/>
  <c r="G267" i="3"/>
  <c r="C267" i="5" s="1"/>
  <c r="G268" i="3"/>
  <c r="C268" i="5" s="1"/>
  <c r="G269" i="3"/>
  <c r="C269" i="5" s="1"/>
  <c r="G270" i="3"/>
  <c r="C270" i="5" s="1"/>
  <c r="G271" i="3"/>
  <c r="C271" i="5" s="1"/>
  <c r="G272" i="3"/>
  <c r="C272" i="5" s="1"/>
  <c r="G273" i="3"/>
  <c r="C273" i="5" s="1"/>
  <c r="G274" i="3"/>
  <c r="C274" i="5" s="1"/>
  <c r="G275" i="3"/>
  <c r="C275" i="5" s="1"/>
  <c r="G276" i="3"/>
  <c r="C276" i="5" s="1"/>
  <c r="G277" i="3"/>
  <c r="C277" i="5" s="1"/>
  <c r="G278" i="3"/>
  <c r="C278" i="5" s="1"/>
  <c r="G279" i="3"/>
  <c r="C279" i="5" s="1"/>
  <c r="G280" i="3"/>
  <c r="C280" i="5" s="1"/>
  <c r="G281" i="3"/>
  <c r="C281" i="5" s="1"/>
  <c r="G282" i="3"/>
  <c r="C282" i="5" s="1"/>
  <c r="G283" i="3"/>
  <c r="C283" i="5" s="1"/>
  <c r="G284" i="3"/>
  <c r="C284" i="5" s="1"/>
  <c r="G285" i="3"/>
  <c r="C285" i="5" s="1"/>
  <c r="G286" i="3"/>
  <c r="C286" i="5" s="1"/>
  <c r="G287" i="3"/>
  <c r="C287" i="5" s="1"/>
  <c r="G288" i="3"/>
  <c r="C288" i="5" s="1"/>
  <c r="G289" i="3"/>
  <c r="C289" i="5" s="1"/>
  <c r="G290" i="3"/>
  <c r="C290" i="5" s="1"/>
  <c r="G291" i="3"/>
  <c r="C291" i="5" s="1"/>
  <c r="G292" i="3"/>
  <c r="C292" i="5" s="1"/>
  <c r="G293" i="3"/>
  <c r="C293" i="5" s="1"/>
  <c r="G294" i="3"/>
  <c r="C294" i="5" s="1"/>
  <c r="G295" i="3"/>
  <c r="C295" i="5" s="1"/>
  <c r="G296" i="3"/>
  <c r="C296" i="5" s="1"/>
  <c r="G297" i="3"/>
  <c r="C297" i="5" s="1"/>
  <c r="G298" i="3"/>
  <c r="C298" i="5" s="1"/>
  <c r="G299" i="3"/>
  <c r="C299" i="5" s="1"/>
  <c r="G300" i="3"/>
  <c r="C300" i="5" s="1"/>
  <c r="G301" i="3"/>
  <c r="C301" i="5" s="1"/>
  <c r="G302" i="3"/>
  <c r="C302" i="5" s="1"/>
  <c r="G303" i="3"/>
  <c r="C303" i="5" s="1"/>
  <c r="G304" i="3"/>
  <c r="C304" i="5" s="1"/>
  <c r="G305" i="3"/>
  <c r="C305" i="5" s="1"/>
  <c r="G306" i="3"/>
  <c r="C306" i="5" s="1"/>
  <c r="G307" i="3"/>
  <c r="C307" i="5" s="1"/>
  <c r="G308" i="3"/>
  <c r="C308" i="5" s="1"/>
  <c r="G309" i="3"/>
  <c r="C309" i="5" s="1"/>
  <c r="G310" i="3"/>
  <c r="C310" i="5" s="1"/>
  <c r="G311" i="3"/>
  <c r="C311" i="5" s="1"/>
  <c r="G312" i="3"/>
  <c r="C312" i="5" s="1"/>
  <c r="G313" i="3"/>
  <c r="C313" i="5" s="1"/>
  <c r="G314" i="3"/>
  <c r="C314" i="5" s="1"/>
  <c r="G315" i="3"/>
  <c r="C315" i="5" s="1"/>
  <c r="G316" i="3"/>
  <c r="C316" i="5" s="1"/>
  <c r="G317" i="3"/>
  <c r="C317" i="5" s="1"/>
  <c r="G318" i="3"/>
  <c r="C318" i="5" s="1"/>
  <c r="G319" i="3"/>
  <c r="C319" i="5" s="1"/>
  <c r="G320" i="3"/>
  <c r="C320" i="5" s="1"/>
  <c r="G321" i="3"/>
  <c r="C321" i="5" s="1"/>
  <c r="G322" i="3"/>
  <c r="C322" i="5" s="1"/>
  <c r="G323" i="3"/>
  <c r="C323" i="5" s="1"/>
  <c r="G324" i="3"/>
  <c r="C324" i="5" s="1"/>
  <c r="G325" i="3"/>
  <c r="C325" i="5" s="1"/>
  <c r="G326" i="3"/>
  <c r="C326" i="5" s="1"/>
  <c r="G327" i="3"/>
  <c r="C327" i="5" s="1"/>
  <c r="G328" i="3"/>
  <c r="C328" i="5" s="1"/>
  <c r="G329" i="3"/>
  <c r="C329" i="5" s="1"/>
  <c r="G330" i="3"/>
  <c r="C330" i="5" s="1"/>
  <c r="G331" i="3"/>
  <c r="C331" i="5" s="1"/>
  <c r="G332" i="3"/>
  <c r="C332" i="5" s="1"/>
  <c r="G333" i="3"/>
  <c r="C333" i="5" s="1"/>
  <c r="G334" i="3"/>
  <c r="C334" i="5" s="1"/>
  <c r="G335" i="3"/>
  <c r="C335" i="5" s="1"/>
  <c r="G336" i="3"/>
  <c r="C336" i="5" s="1"/>
  <c r="G337" i="3"/>
  <c r="C337" i="5" s="1"/>
  <c r="G338" i="3"/>
  <c r="C338" i="5" s="1"/>
  <c r="G339" i="3"/>
  <c r="C339" i="5" s="1"/>
  <c r="G340" i="3"/>
  <c r="C340" i="5" s="1"/>
  <c r="G341" i="3"/>
  <c r="C341" i="5" s="1"/>
  <c r="G342" i="3"/>
  <c r="C342" i="5" s="1"/>
  <c r="G343" i="3"/>
  <c r="C343" i="5" s="1"/>
  <c r="G344" i="3"/>
  <c r="C344" i="5" s="1"/>
  <c r="G345" i="3"/>
  <c r="C345" i="5" s="1"/>
  <c r="G346" i="3"/>
  <c r="C346" i="5" s="1"/>
  <c r="G347" i="3"/>
  <c r="C347" i="5" s="1"/>
  <c r="G348" i="3"/>
  <c r="C348" i="5" s="1"/>
  <c r="G349" i="3"/>
  <c r="C349" i="5" s="1"/>
  <c r="G350" i="3"/>
  <c r="C350" i="5" s="1"/>
  <c r="G351" i="3"/>
  <c r="C351" i="5" s="1"/>
  <c r="G352" i="3"/>
  <c r="C352" i="5" s="1"/>
  <c r="G353" i="3"/>
  <c r="C353" i="5" s="1"/>
  <c r="G354" i="3"/>
  <c r="C354" i="5" s="1"/>
  <c r="G355" i="3"/>
  <c r="C355" i="5" s="1"/>
  <c r="G356" i="3"/>
  <c r="C356" i="5" s="1"/>
  <c r="G357" i="3"/>
  <c r="C357" i="5" s="1"/>
  <c r="G358" i="3"/>
  <c r="C358" i="5" s="1"/>
  <c r="G359" i="3"/>
  <c r="C359" i="5" s="1"/>
  <c r="G360" i="3"/>
  <c r="C360" i="5" s="1"/>
  <c r="G361" i="3"/>
  <c r="C361" i="5" s="1"/>
  <c r="G362" i="3"/>
  <c r="C362" i="5" s="1"/>
  <c r="G363" i="3"/>
  <c r="C363" i="5" s="1"/>
  <c r="G364" i="3"/>
  <c r="C364" i="5" s="1"/>
  <c r="G365" i="3"/>
  <c r="C365" i="5" s="1"/>
  <c r="G366" i="3"/>
  <c r="C366" i="5" s="1"/>
  <c r="G367" i="3"/>
  <c r="C367" i="5" s="1"/>
  <c r="G368" i="3"/>
  <c r="C368" i="5" s="1"/>
  <c r="G369" i="3"/>
  <c r="C369" i="5" s="1"/>
  <c r="G370" i="3"/>
  <c r="C370" i="5" s="1"/>
  <c r="G371" i="3"/>
  <c r="C371" i="5" s="1"/>
  <c r="G372" i="3"/>
  <c r="C372" i="5" s="1"/>
  <c r="G373" i="3"/>
  <c r="C373" i="5" s="1"/>
  <c r="G374" i="3"/>
  <c r="C374" i="5" s="1"/>
  <c r="G375" i="3"/>
  <c r="C375" i="5" s="1"/>
  <c r="G376" i="3"/>
  <c r="C376" i="5" s="1"/>
  <c r="G377" i="3"/>
  <c r="C377" i="5" s="1"/>
  <c r="G378" i="3"/>
  <c r="C378" i="5" s="1"/>
  <c r="G379" i="3"/>
  <c r="C379" i="5" s="1"/>
  <c r="G380" i="3"/>
  <c r="C380" i="5" s="1"/>
  <c r="G381" i="3"/>
  <c r="C381" i="5" s="1"/>
  <c r="G382" i="3"/>
  <c r="C382" i="5" s="1"/>
  <c r="G383" i="3"/>
  <c r="C383" i="5" s="1"/>
  <c r="G384" i="3"/>
  <c r="C384" i="5" s="1"/>
  <c r="G385" i="3"/>
  <c r="C385" i="5" s="1"/>
  <c r="G386" i="3"/>
  <c r="C386" i="5" s="1"/>
  <c r="G387" i="3"/>
  <c r="C387" i="5" s="1"/>
  <c r="G388" i="3"/>
  <c r="C388" i="5" s="1"/>
  <c r="G389" i="3"/>
  <c r="C389" i="5" s="1"/>
  <c r="G390" i="3"/>
  <c r="C390" i="5" s="1"/>
  <c r="G391" i="3"/>
  <c r="C391" i="5" s="1"/>
  <c r="G392" i="3"/>
  <c r="C392" i="5" s="1"/>
  <c r="G393" i="3"/>
  <c r="C393" i="5" s="1"/>
  <c r="G394" i="3"/>
  <c r="C394" i="5" s="1"/>
  <c r="G395" i="3"/>
  <c r="C395" i="5" s="1"/>
  <c r="G396" i="3"/>
  <c r="C396" i="5" s="1"/>
  <c r="G397" i="3"/>
  <c r="C397" i="5" s="1"/>
  <c r="G398" i="3"/>
  <c r="C398" i="5" s="1"/>
  <c r="G399" i="3"/>
  <c r="C399" i="5" s="1"/>
  <c r="G400" i="3"/>
  <c r="C400" i="5" s="1"/>
  <c r="G401" i="3"/>
  <c r="C401" i="5" s="1"/>
  <c r="G402" i="3"/>
  <c r="C402" i="5" s="1"/>
  <c r="G403" i="3"/>
  <c r="C403" i="5" s="1"/>
  <c r="G404" i="3"/>
  <c r="C404" i="5" s="1"/>
  <c r="G405" i="3"/>
  <c r="C405" i="5" s="1"/>
  <c r="G406" i="3"/>
  <c r="C406" i="5" s="1"/>
  <c r="G407" i="3"/>
  <c r="C407" i="5" s="1"/>
  <c r="G408" i="3"/>
  <c r="C408" i="5" s="1"/>
  <c r="G409" i="3"/>
  <c r="C409" i="5" s="1"/>
  <c r="G410" i="3"/>
  <c r="C410" i="5" s="1"/>
  <c r="G411" i="3"/>
  <c r="C411" i="5" s="1"/>
  <c r="G412" i="3"/>
  <c r="C412" i="5" s="1"/>
  <c r="G413" i="3"/>
  <c r="C413" i="5" s="1"/>
  <c r="G414" i="3"/>
  <c r="C414" i="5" s="1"/>
  <c r="G415" i="3"/>
  <c r="C415" i="5" s="1"/>
  <c r="G416" i="3"/>
  <c r="C416" i="5" s="1"/>
  <c r="G417" i="3"/>
  <c r="C417" i="5" s="1"/>
  <c r="G418" i="3"/>
  <c r="C418" i="5" s="1"/>
  <c r="G419" i="3"/>
  <c r="C419" i="5" s="1"/>
  <c r="G420" i="3"/>
  <c r="C420" i="5" s="1"/>
  <c r="G421" i="3"/>
  <c r="C421" i="5" s="1"/>
  <c r="G422" i="3"/>
  <c r="C422" i="5" s="1"/>
  <c r="G423" i="3"/>
  <c r="C423" i="5" s="1"/>
  <c r="G424" i="3"/>
  <c r="C424" i="5" s="1"/>
  <c r="G425" i="3"/>
  <c r="C425" i="5" s="1"/>
  <c r="G426" i="3"/>
  <c r="C426" i="5" s="1"/>
  <c r="G427" i="3"/>
  <c r="C427" i="5" s="1"/>
  <c r="G428" i="3"/>
  <c r="C428" i="5" s="1"/>
  <c r="G429" i="3"/>
  <c r="C429" i="5" s="1"/>
  <c r="G430" i="3"/>
  <c r="C430" i="5" s="1"/>
  <c r="G431" i="3"/>
  <c r="C431" i="5" s="1"/>
  <c r="G432" i="3"/>
  <c r="C432" i="5" s="1"/>
  <c r="G433" i="3"/>
  <c r="C433" i="5" s="1"/>
  <c r="G434" i="3"/>
  <c r="C434" i="5" s="1"/>
  <c r="G435" i="3"/>
  <c r="C435" i="5" s="1"/>
  <c r="G436" i="3"/>
  <c r="C436" i="5" s="1"/>
  <c r="G437" i="3"/>
  <c r="C437" i="5" s="1"/>
  <c r="G438" i="3"/>
  <c r="C438" i="5" s="1"/>
  <c r="G439" i="3"/>
  <c r="C439" i="5" s="1"/>
  <c r="G440" i="3"/>
  <c r="C440" i="5" s="1"/>
  <c r="G441" i="3"/>
  <c r="C441" i="5" s="1"/>
  <c r="G442" i="3"/>
  <c r="C442" i="5" s="1"/>
  <c r="G443" i="3"/>
  <c r="C443" i="5" s="1"/>
  <c r="G444" i="3"/>
  <c r="C444" i="5" s="1"/>
  <c r="G445" i="3"/>
  <c r="C445" i="5" s="1"/>
  <c r="G446" i="3"/>
  <c r="C446" i="5" s="1"/>
  <c r="G447" i="3"/>
  <c r="C447" i="5" s="1"/>
  <c r="G448" i="3"/>
  <c r="C448" i="5" s="1"/>
  <c r="G449" i="3"/>
  <c r="C449" i="5" s="1"/>
  <c r="G450" i="3"/>
  <c r="C450" i="5" s="1"/>
  <c r="G451" i="3"/>
  <c r="C451" i="5" s="1"/>
  <c r="G452" i="3"/>
  <c r="C452" i="5" s="1"/>
  <c r="G453" i="3"/>
  <c r="C453" i="5" s="1"/>
  <c r="G454" i="3"/>
  <c r="C454" i="5" s="1"/>
  <c r="G455" i="3"/>
  <c r="C455" i="5" s="1"/>
  <c r="G456" i="3"/>
  <c r="C456" i="5" s="1"/>
  <c r="G457" i="3"/>
  <c r="C457" i="5" s="1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A10" i="6" l="1"/>
  <c r="A11" i="6"/>
  <c r="A12" i="6"/>
  <c r="A13" i="6"/>
  <c r="A14" i="6"/>
  <c r="A15" i="6"/>
  <c r="A16" i="6"/>
  <c r="A17" i="6"/>
  <c r="A18" i="6"/>
  <c r="A19" i="6"/>
  <c r="B13" i="6" l="1"/>
  <c r="B14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9" i="6" l="1"/>
  <c r="A8" i="6"/>
  <c r="C9" i="6" l="1"/>
  <c r="D9" i="3" s="1"/>
  <c r="D9" i="6"/>
  <c r="F9" i="3" s="1"/>
  <c r="D9" i="5" s="1"/>
  <c r="C10" i="6"/>
  <c r="D10" i="3" s="1"/>
  <c r="D10" i="6"/>
  <c r="F10" i="3" s="1"/>
  <c r="D10" i="5" s="1"/>
  <c r="C11" i="6"/>
  <c r="D11" i="3" s="1"/>
  <c r="D11" i="6"/>
  <c r="F11" i="3" s="1"/>
  <c r="D11" i="5" s="1"/>
  <c r="C12" i="6"/>
  <c r="D12" i="3" s="1"/>
  <c r="D12" i="6"/>
  <c r="F12" i="3" s="1"/>
  <c r="D12" i="5" s="1"/>
  <c r="C13" i="6"/>
  <c r="D13" i="3" s="1"/>
  <c r="D13" i="6"/>
  <c r="F13" i="3" s="1"/>
  <c r="D13" i="5" s="1"/>
  <c r="C14" i="6"/>
  <c r="D14" i="3" s="1"/>
  <c r="D14" i="6"/>
  <c r="F14" i="3" s="1"/>
  <c r="D14" i="5" s="1"/>
  <c r="C15" i="6"/>
  <c r="D15" i="3" s="1"/>
  <c r="D15" i="6"/>
  <c r="F15" i="3" s="1"/>
  <c r="D15" i="5" s="1"/>
  <c r="C16" i="6"/>
  <c r="D16" i="3" s="1"/>
  <c r="D16" i="6"/>
  <c r="F16" i="3" s="1"/>
  <c r="D16" i="5" s="1"/>
  <c r="C17" i="6"/>
  <c r="D17" i="3" s="1"/>
  <c r="D17" i="6"/>
  <c r="F17" i="3" s="1"/>
  <c r="D17" i="5" s="1"/>
  <c r="D18" i="3"/>
  <c r="D18" i="6"/>
  <c r="F18" i="3" s="1"/>
  <c r="D18" i="5" s="1"/>
  <c r="C19" i="6"/>
  <c r="D19" i="3" s="1"/>
  <c r="D19" i="6"/>
  <c r="F19" i="3" s="1"/>
  <c r="D19" i="5" s="1"/>
  <c r="C20" i="6"/>
  <c r="D20" i="3" s="1"/>
  <c r="D20" i="6"/>
  <c r="F20" i="3" s="1"/>
  <c r="D20" i="5" s="1"/>
  <c r="C21" i="6"/>
  <c r="D21" i="3" s="1"/>
  <c r="D21" i="6"/>
  <c r="F21" i="3" s="1"/>
  <c r="D21" i="5" s="1"/>
  <c r="C22" i="6"/>
  <c r="D22" i="3" s="1"/>
  <c r="D22" i="6"/>
  <c r="F22" i="3" s="1"/>
  <c r="D22" i="5" s="1"/>
  <c r="C23" i="6"/>
  <c r="D23" i="3" s="1"/>
  <c r="D23" i="6"/>
  <c r="F23" i="3" s="1"/>
  <c r="D23" i="5" s="1"/>
  <c r="C24" i="6"/>
  <c r="D24" i="3" s="1"/>
  <c r="D24" i="6"/>
  <c r="F24" i="3" s="1"/>
  <c r="D24" i="5" s="1"/>
  <c r="C25" i="6"/>
  <c r="D25" i="3" s="1"/>
  <c r="D25" i="6"/>
  <c r="F25" i="3" s="1"/>
  <c r="D25" i="5" s="1"/>
  <c r="C26" i="6"/>
  <c r="D26" i="3" s="1"/>
  <c r="D26" i="6"/>
  <c r="F26" i="3" s="1"/>
  <c r="D26" i="5" s="1"/>
  <c r="C27" i="6"/>
  <c r="D27" i="3" s="1"/>
  <c r="D27" i="6"/>
  <c r="F27" i="3" s="1"/>
  <c r="D27" i="5" s="1"/>
  <c r="C28" i="6"/>
  <c r="D28" i="3" s="1"/>
  <c r="D28" i="6"/>
  <c r="F28" i="3" s="1"/>
  <c r="D28" i="5" s="1"/>
  <c r="C29" i="6"/>
  <c r="D29" i="3" s="1"/>
  <c r="D29" i="6"/>
  <c r="F29" i="3" s="1"/>
  <c r="D29" i="5" s="1"/>
  <c r="C30" i="6"/>
  <c r="D30" i="3" s="1"/>
  <c r="D30" i="6"/>
  <c r="F30" i="3" s="1"/>
  <c r="D30" i="5" s="1"/>
  <c r="C31" i="6"/>
  <c r="D31" i="3" s="1"/>
  <c r="D31" i="6"/>
  <c r="F31" i="3" s="1"/>
  <c r="D31" i="5" s="1"/>
  <c r="C32" i="6"/>
  <c r="D32" i="3" s="1"/>
  <c r="D32" i="6"/>
  <c r="F32" i="3" s="1"/>
  <c r="D32" i="5" s="1"/>
  <c r="C33" i="6"/>
  <c r="D33" i="3" s="1"/>
  <c r="D33" i="6"/>
  <c r="F33" i="3" s="1"/>
  <c r="D33" i="5" s="1"/>
  <c r="C34" i="6"/>
  <c r="D34" i="3" s="1"/>
  <c r="D34" i="6"/>
  <c r="F34" i="3" s="1"/>
  <c r="D34" i="5" s="1"/>
  <c r="C35" i="6"/>
  <c r="D35" i="3" s="1"/>
  <c r="D35" i="6"/>
  <c r="F35" i="3" s="1"/>
  <c r="D35" i="5" s="1"/>
  <c r="C36" i="6"/>
  <c r="D36" i="3" s="1"/>
  <c r="D36" i="6"/>
  <c r="F36" i="3" s="1"/>
  <c r="D36" i="5" s="1"/>
  <c r="C37" i="6"/>
  <c r="D37" i="3" s="1"/>
  <c r="D37" i="6"/>
  <c r="F37" i="3" s="1"/>
  <c r="D37" i="5" s="1"/>
  <c r="C38" i="6"/>
  <c r="D38" i="3" s="1"/>
  <c r="D38" i="6"/>
  <c r="F38" i="3" s="1"/>
  <c r="D38" i="5" s="1"/>
  <c r="C39" i="6"/>
  <c r="D39" i="3" s="1"/>
  <c r="D39" i="6"/>
  <c r="F39" i="3" s="1"/>
  <c r="D39" i="5" s="1"/>
  <c r="C40" i="6"/>
  <c r="D40" i="3" s="1"/>
  <c r="D40" i="6"/>
  <c r="F40" i="3" s="1"/>
  <c r="D40" i="5" s="1"/>
  <c r="C41" i="6"/>
  <c r="D41" i="3" s="1"/>
  <c r="D41" i="6"/>
  <c r="F41" i="3" s="1"/>
  <c r="D41" i="5" s="1"/>
  <c r="C42" i="6"/>
  <c r="D42" i="3" s="1"/>
  <c r="D42" i="6"/>
  <c r="F42" i="3" s="1"/>
  <c r="D42" i="5" s="1"/>
  <c r="C43" i="6"/>
  <c r="D43" i="3" s="1"/>
  <c r="D43" i="6"/>
  <c r="F43" i="3" s="1"/>
  <c r="D43" i="5" s="1"/>
  <c r="C44" i="6"/>
  <c r="D44" i="3" s="1"/>
  <c r="D44" i="6"/>
  <c r="F44" i="3" s="1"/>
  <c r="D44" i="5" s="1"/>
  <c r="C45" i="6"/>
  <c r="D45" i="3" s="1"/>
  <c r="D45" i="6"/>
  <c r="F45" i="3" s="1"/>
  <c r="D45" i="5" s="1"/>
  <c r="C46" i="6"/>
  <c r="D46" i="3" s="1"/>
  <c r="D46" i="6"/>
  <c r="F46" i="3" s="1"/>
  <c r="D46" i="5" s="1"/>
  <c r="C47" i="6"/>
  <c r="D47" i="3" s="1"/>
  <c r="D47" i="6"/>
  <c r="F47" i="3" s="1"/>
  <c r="D47" i="5" s="1"/>
  <c r="C48" i="6"/>
  <c r="D48" i="3" s="1"/>
  <c r="D48" i="6"/>
  <c r="F48" i="3" s="1"/>
  <c r="D48" i="5" s="1"/>
  <c r="C49" i="6"/>
  <c r="D49" i="3" s="1"/>
  <c r="D49" i="6"/>
  <c r="F49" i="3" s="1"/>
  <c r="D49" i="5" s="1"/>
  <c r="C50" i="6"/>
  <c r="D50" i="3" s="1"/>
  <c r="D50" i="6"/>
  <c r="F50" i="3" s="1"/>
  <c r="D50" i="5" s="1"/>
  <c r="C51" i="6"/>
  <c r="D51" i="3" s="1"/>
  <c r="D51" i="6"/>
  <c r="F51" i="3" s="1"/>
  <c r="D51" i="5" s="1"/>
  <c r="C52" i="6"/>
  <c r="D52" i="3" s="1"/>
  <c r="D52" i="6"/>
  <c r="F52" i="3" s="1"/>
  <c r="D52" i="5" s="1"/>
  <c r="C53" i="6"/>
  <c r="D53" i="3" s="1"/>
  <c r="D53" i="6"/>
  <c r="F53" i="3" s="1"/>
  <c r="D53" i="5" s="1"/>
  <c r="C54" i="6"/>
  <c r="D54" i="3" s="1"/>
  <c r="D54" i="6"/>
  <c r="F54" i="3" s="1"/>
  <c r="D54" i="5" s="1"/>
  <c r="C55" i="6"/>
  <c r="D55" i="3" s="1"/>
  <c r="D55" i="6"/>
  <c r="F55" i="3" s="1"/>
  <c r="D55" i="5" s="1"/>
  <c r="C56" i="6"/>
  <c r="D56" i="3" s="1"/>
  <c r="D56" i="6"/>
  <c r="F56" i="3" s="1"/>
  <c r="D56" i="5" s="1"/>
  <c r="C57" i="6"/>
  <c r="D57" i="3" s="1"/>
  <c r="D57" i="6"/>
  <c r="F57" i="3" s="1"/>
  <c r="D57" i="5" s="1"/>
  <c r="C58" i="6"/>
  <c r="D58" i="3" s="1"/>
  <c r="D58" i="6"/>
  <c r="F58" i="3" s="1"/>
  <c r="D58" i="5" s="1"/>
  <c r="C59" i="6"/>
  <c r="D59" i="3" s="1"/>
  <c r="D59" i="6"/>
  <c r="F59" i="3" s="1"/>
  <c r="D59" i="5" s="1"/>
  <c r="C60" i="6"/>
  <c r="D60" i="3" s="1"/>
  <c r="D60" i="6"/>
  <c r="F60" i="3" s="1"/>
  <c r="D60" i="5" s="1"/>
  <c r="C61" i="6"/>
  <c r="D61" i="3" s="1"/>
  <c r="D61" i="6"/>
  <c r="F61" i="3" s="1"/>
  <c r="D61" i="5" s="1"/>
  <c r="C62" i="6"/>
  <c r="D62" i="3" s="1"/>
  <c r="D62" i="6"/>
  <c r="F62" i="3" s="1"/>
  <c r="D62" i="5" s="1"/>
  <c r="C63" i="6"/>
  <c r="D63" i="3" s="1"/>
  <c r="D63" i="6"/>
  <c r="F63" i="3" s="1"/>
  <c r="D63" i="5" s="1"/>
  <c r="C64" i="6"/>
  <c r="D64" i="3" s="1"/>
  <c r="D64" i="6"/>
  <c r="F64" i="3" s="1"/>
  <c r="D64" i="5" s="1"/>
  <c r="C65" i="6"/>
  <c r="D65" i="3" s="1"/>
  <c r="D65" i="6"/>
  <c r="F65" i="3" s="1"/>
  <c r="D65" i="5" s="1"/>
  <c r="C66" i="6"/>
  <c r="D66" i="3" s="1"/>
  <c r="D66" i="6"/>
  <c r="F66" i="3" s="1"/>
  <c r="D66" i="5" s="1"/>
  <c r="C67" i="6"/>
  <c r="D67" i="3" s="1"/>
  <c r="D67" i="6"/>
  <c r="F67" i="3" s="1"/>
  <c r="D67" i="5" s="1"/>
  <c r="C68" i="6"/>
  <c r="D68" i="3" s="1"/>
  <c r="D68" i="6"/>
  <c r="F68" i="3" s="1"/>
  <c r="D68" i="5" s="1"/>
  <c r="C69" i="6"/>
  <c r="D69" i="3" s="1"/>
  <c r="D69" i="6"/>
  <c r="F69" i="3" s="1"/>
  <c r="D69" i="5" s="1"/>
  <c r="C70" i="6"/>
  <c r="D70" i="3" s="1"/>
  <c r="D70" i="6"/>
  <c r="F70" i="3" s="1"/>
  <c r="D70" i="5" s="1"/>
  <c r="C71" i="6"/>
  <c r="D71" i="3" s="1"/>
  <c r="D71" i="6"/>
  <c r="F71" i="3" s="1"/>
  <c r="D71" i="5" s="1"/>
  <c r="C72" i="6"/>
  <c r="D72" i="3" s="1"/>
  <c r="D72" i="6"/>
  <c r="F72" i="3" s="1"/>
  <c r="D72" i="5" s="1"/>
  <c r="C73" i="6"/>
  <c r="D73" i="3" s="1"/>
  <c r="D73" i="6"/>
  <c r="F73" i="3" s="1"/>
  <c r="D73" i="5" s="1"/>
  <c r="C74" i="6"/>
  <c r="D74" i="3" s="1"/>
  <c r="D74" i="6"/>
  <c r="F74" i="3" s="1"/>
  <c r="D74" i="5" s="1"/>
  <c r="C75" i="6"/>
  <c r="D75" i="3" s="1"/>
  <c r="D75" i="6"/>
  <c r="F75" i="3" s="1"/>
  <c r="D75" i="5" s="1"/>
  <c r="C76" i="6"/>
  <c r="D76" i="3" s="1"/>
  <c r="D76" i="6"/>
  <c r="F76" i="3" s="1"/>
  <c r="D76" i="5" s="1"/>
  <c r="C77" i="6"/>
  <c r="D77" i="3" s="1"/>
  <c r="D77" i="6"/>
  <c r="F77" i="3" s="1"/>
  <c r="D77" i="5" s="1"/>
  <c r="C78" i="6"/>
  <c r="D78" i="3" s="1"/>
  <c r="D78" i="6"/>
  <c r="F78" i="3" s="1"/>
  <c r="D78" i="5" s="1"/>
  <c r="C79" i="6"/>
  <c r="D79" i="3" s="1"/>
  <c r="D79" i="6"/>
  <c r="F79" i="3" s="1"/>
  <c r="D79" i="5" s="1"/>
  <c r="C80" i="6"/>
  <c r="D80" i="3" s="1"/>
  <c r="D80" i="6"/>
  <c r="F80" i="3" s="1"/>
  <c r="D80" i="5" s="1"/>
  <c r="C81" i="6"/>
  <c r="D81" i="3" s="1"/>
  <c r="D81" i="6"/>
  <c r="F81" i="3" s="1"/>
  <c r="D81" i="5" s="1"/>
  <c r="C82" i="6"/>
  <c r="D82" i="3" s="1"/>
  <c r="D82" i="6"/>
  <c r="F82" i="3" s="1"/>
  <c r="D82" i="5" s="1"/>
  <c r="C83" i="6"/>
  <c r="D83" i="3" s="1"/>
  <c r="D83" i="6"/>
  <c r="F83" i="3" s="1"/>
  <c r="D83" i="5" s="1"/>
  <c r="C84" i="6"/>
  <c r="D84" i="3" s="1"/>
  <c r="D84" i="6"/>
  <c r="F84" i="3" s="1"/>
  <c r="D84" i="5" s="1"/>
  <c r="C85" i="6"/>
  <c r="D85" i="3" s="1"/>
  <c r="D85" i="6"/>
  <c r="F85" i="3" s="1"/>
  <c r="D85" i="5" s="1"/>
  <c r="C86" i="6"/>
  <c r="D86" i="3" s="1"/>
  <c r="D86" i="6"/>
  <c r="F86" i="3" s="1"/>
  <c r="D86" i="5" s="1"/>
  <c r="C87" i="6"/>
  <c r="D87" i="3" s="1"/>
  <c r="D87" i="6"/>
  <c r="F87" i="3" s="1"/>
  <c r="D87" i="5" s="1"/>
  <c r="C88" i="6"/>
  <c r="D88" i="3" s="1"/>
  <c r="D88" i="6"/>
  <c r="F88" i="3" s="1"/>
  <c r="D88" i="5" s="1"/>
  <c r="C89" i="6"/>
  <c r="D89" i="6"/>
  <c r="C90" i="6"/>
  <c r="D90" i="6"/>
  <c r="C91" i="6"/>
  <c r="D91" i="6"/>
  <c r="C92" i="6"/>
  <c r="D92" i="6"/>
  <c r="C93" i="6"/>
  <c r="D93" i="6"/>
  <c r="C94" i="6"/>
  <c r="D94" i="6"/>
  <c r="C95" i="6"/>
  <c r="D95" i="6"/>
  <c r="C96" i="6"/>
  <c r="D96" i="6"/>
  <c r="C97" i="6"/>
  <c r="D97" i="6"/>
  <c r="C98" i="6"/>
  <c r="D98" i="6"/>
  <c r="C99" i="6"/>
  <c r="D99" i="6"/>
  <c r="C100" i="6"/>
  <c r="D100" i="6"/>
  <c r="C101" i="6"/>
  <c r="D101" i="6"/>
  <c r="C102" i="6"/>
  <c r="D102" i="6"/>
  <c r="C103" i="6"/>
  <c r="D103" i="6"/>
  <c r="C104" i="6"/>
  <c r="D104" i="6"/>
  <c r="C105" i="6"/>
  <c r="D105" i="6"/>
  <c r="C106" i="6"/>
  <c r="D106" i="6"/>
  <c r="C107" i="6"/>
  <c r="D107" i="6"/>
  <c r="C108" i="6"/>
  <c r="D108" i="6"/>
  <c r="C109" i="6"/>
  <c r="D109" i="6"/>
  <c r="C110" i="6"/>
  <c r="D110" i="6"/>
  <c r="C111" i="6"/>
  <c r="D111" i="6"/>
  <c r="C112" i="6"/>
  <c r="D112" i="6"/>
  <c r="C113" i="6"/>
  <c r="D113" i="6"/>
  <c r="C114" i="6"/>
  <c r="D114" i="6"/>
  <c r="C115" i="6"/>
  <c r="D115" i="6"/>
  <c r="C116" i="6"/>
  <c r="D116" i="6"/>
  <c r="C117" i="6"/>
  <c r="D117" i="6"/>
  <c r="C118" i="6"/>
  <c r="D118" i="6"/>
  <c r="C119" i="6"/>
  <c r="D119" i="6"/>
  <c r="C120" i="6"/>
  <c r="D120" i="6"/>
  <c r="C121" i="6"/>
  <c r="D121" i="6"/>
  <c r="C122" i="6"/>
  <c r="D122" i="6"/>
  <c r="C123" i="6"/>
  <c r="D123" i="6"/>
  <c r="C124" i="6"/>
  <c r="D124" i="6"/>
  <c r="C125" i="6"/>
  <c r="D125" i="6"/>
  <c r="C126" i="6"/>
  <c r="D126" i="6"/>
  <c r="C127" i="6"/>
  <c r="D127" i="6"/>
  <c r="C128" i="6"/>
  <c r="D128" i="6"/>
  <c r="C129" i="6"/>
  <c r="D129" i="6"/>
  <c r="C130" i="6"/>
  <c r="D130" i="6"/>
  <c r="C131" i="6"/>
  <c r="D131" i="6"/>
  <c r="C132" i="6"/>
  <c r="D132" i="6"/>
  <c r="C133" i="6"/>
  <c r="D133" i="6"/>
  <c r="C134" i="6"/>
  <c r="D134" i="6"/>
  <c r="C135" i="6"/>
  <c r="D135" i="6"/>
  <c r="C136" i="6"/>
  <c r="D136" i="6"/>
  <c r="C137" i="6"/>
  <c r="D137" i="6"/>
  <c r="C138" i="6"/>
  <c r="D138" i="6"/>
  <c r="C139" i="6"/>
  <c r="D139" i="6"/>
  <c r="C140" i="6"/>
  <c r="D140" i="6"/>
  <c r="C141" i="6"/>
  <c r="D141" i="6"/>
  <c r="C142" i="6"/>
  <c r="D142" i="6"/>
  <c r="C143" i="6"/>
  <c r="D143" i="6"/>
  <c r="C144" i="6"/>
  <c r="D144" i="6"/>
  <c r="C145" i="6"/>
  <c r="D145" i="6"/>
  <c r="C146" i="6"/>
  <c r="D146" i="6"/>
  <c r="C147" i="6"/>
  <c r="D147" i="6"/>
  <c r="C148" i="6"/>
  <c r="D148" i="6"/>
  <c r="C149" i="6"/>
  <c r="D149" i="6"/>
  <c r="C150" i="6"/>
  <c r="D150" i="6"/>
  <c r="C151" i="6"/>
  <c r="D151" i="6"/>
  <c r="C152" i="6"/>
  <c r="D152" i="6"/>
  <c r="C153" i="6"/>
  <c r="D153" i="6"/>
  <c r="C154" i="6"/>
  <c r="D154" i="6"/>
  <c r="C155" i="6"/>
  <c r="D155" i="6"/>
  <c r="C156" i="6"/>
  <c r="D156" i="6"/>
  <c r="C157" i="6"/>
  <c r="D157" i="6"/>
  <c r="C158" i="6"/>
  <c r="D158" i="6"/>
  <c r="C159" i="6"/>
  <c r="D159" i="6"/>
  <c r="C160" i="6"/>
  <c r="D160" i="6"/>
  <c r="C161" i="6"/>
  <c r="D161" i="6"/>
  <c r="C162" i="6"/>
  <c r="D162" i="6"/>
  <c r="C163" i="6"/>
  <c r="D163" i="6"/>
  <c r="C164" i="6"/>
  <c r="D164" i="6"/>
  <c r="C165" i="6"/>
  <c r="D165" i="6"/>
  <c r="C166" i="6"/>
  <c r="D166" i="6"/>
  <c r="C167" i="6"/>
  <c r="D167" i="6"/>
  <c r="C168" i="6"/>
  <c r="D168" i="6"/>
  <c r="C169" i="6"/>
  <c r="D169" i="6"/>
  <c r="C170" i="6"/>
  <c r="D170" i="6"/>
  <c r="C171" i="6"/>
  <c r="D171" i="6"/>
  <c r="C172" i="6"/>
  <c r="D172" i="6"/>
  <c r="C173" i="6"/>
  <c r="D173" i="6"/>
  <c r="C174" i="6"/>
  <c r="D174" i="6"/>
  <c r="C175" i="6"/>
  <c r="D175" i="6"/>
  <c r="C176" i="6"/>
  <c r="D176" i="6"/>
  <c r="C177" i="6"/>
  <c r="D177" i="6"/>
  <c r="C178" i="6"/>
  <c r="D178" i="6"/>
  <c r="C179" i="6"/>
  <c r="D179" i="6"/>
  <c r="C180" i="6"/>
  <c r="D180" i="6"/>
  <c r="C181" i="6"/>
  <c r="D181" i="6"/>
  <c r="C182" i="6"/>
  <c r="D182" i="6"/>
  <c r="C183" i="6"/>
  <c r="D183" i="6"/>
  <c r="C184" i="6"/>
  <c r="D184" i="6"/>
  <c r="C185" i="6"/>
  <c r="D185" i="6"/>
  <c r="C186" i="6"/>
  <c r="D186" i="6"/>
  <c r="C187" i="6"/>
  <c r="D187" i="6"/>
  <c r="C188" i="6"/>
  <c r="D188" i="6"/>
  <c r="C189" i="6"/>
  <c r="D189" i="6"/>
  <c r="C190" i="6"/>
  <c r="D190" i="6"/>
  <c r="C191" i="6"/>
  <c r="D191" i="6"/>
  <c r="C192" i="6"/>
  <c r="D192" i="6"/>
  <c r="C193" i="6"/>
  <c r="D193" i="6"/>
  <c r="C194" i="6"/>
  <c r="D194" i="6"/>
  <c r="C195" i="6"/>
  <c r="D195" i="6"/>
  <c r="C196" i="6"/>
  <c r="D196" i="6"/>
  <c r="C197" i="6"/>
  <c r="D197" i="6"/>
  <c r="C198" i="6"/>
  <c r="D198" i="6"/>
  <c r="C199" i="6"/>
  <c r="D199" i="6"/>
  <c r="C200" i="6"/>
  <c r="D200" i="6"/>
  <c r="C201" i="6"/>
  <c r="D201" i="6"/>
  <c r="C202" i="6"/>
  <c r="D202" i="6"/>
  <c r="C203" i="6"/>
  <c r="D203" i="6"/>
  <c r="C204" i="6"/>
  <c r="D204" i="6"/>
  <c r="C205" i="6"/>
  <c r="D205" i="6"/>
  <c r="C206" i="6"/>
  <c r="D206" i="6"/>
  <c r="C207" i="6"/>
  <c r="D207" i="6"/>
  <c r="C208" i="6"/>
  <c r="D208" i="6"/>
  <c r="C209" i="6"/>
  <c r="D209" i="6"/>
  <c r="C210" i="6"/>
  <c r="D210" i="6"/>
  <c r="C211" i="6"/>
  <c r="D211" i="6"/>
  <c r="C212" i="6"/>
  <c r="D212" i="6"/>
  <c r="C213" i="6"/>
  <c r="D213" i="6"/>
  <c r="C214" i="6"/>
  <c r="D214" i="6"/>
  <c r="C215" i="6"/>
  <c r="D215" i="6"/>
  <c r="C216" i="6"/>
  <c r="D216" i="6"/>
  <c r="C217" i="6"/>
  <c r="D217" i="6"/>
  <c r="C218" i="6"/>
  <c r="D218" i="6"/>
  <c r="C219" i="6"/>
  <c r="D219" i="6"/>
  <c r="C220" i="6"/>
  <c r="D220" i="6"/>
  <c r="C221" i="6"/>
  <c r="D221" i="6"/>
  <c r="C222" i="6"/>
  <c r="D222" i="6"/>
  <c r="C223" i="6"/>
  <c r="D223" i="6"/>
  <c r="C224" i="6"/>
  <c r="D224" i="6"/>
  <c r="C225" i="6"/>
  <c r="D225" i="6"/>
  <c r="C226" i="6"/>
  <c r="D226" i="6"/>
  <c r="C227" i="6"/>
  <c r="D227" i="6"/>
  <c r="C228" i="6"/>
  <c r="D228" i="6"/>
  <c r="C229" i="6"/>
  <c r="D229" i="6"/>
  <c r="C230" i="6"/>
  <c r="D230" i="6"/>
  <c r="C231" i="6"/>
  <c r="D231" i="6"/>
  <c r="C232" i="6"/>
  <c r="D232" i="6"/>
  <c r="C233" i="6"/>
  <c r="D233" i="6"/>
  <c r="C234" i="6"/>
  <c r="D234" i="6"/>
  <c r="C235" i="6"/>
  <c r="D235" i="6"/>
  <c r="C236" i="6"/>
  <c r="D236" i="6"/>
  <c r="C237" i="6"/>
  <c r="D237" i="6"/>
  <c r="C238" i="6"/>
  <c r="D238" i="6"/>
  <c r="C239" i="6"/>
  <c r="D239" i="6"/>
  <c r="C240" i="6"/>
  <c r="D240" i="6"/>
  <c r="C241" i="6"/>
  <c r="D241" i="6"/>
  <c r="C242" i="6"/>
  <c r="D242" i="6"/>
  <c r="C243" i="6"/>
  <c r="D243" i="6"/>
  <c r="C244" i="6"/>
  <c r="D244" i="6"/>
  <c r="C245" i="6"/>
  <c r="D245" i="6"/>
  <c r="C246" i="6"/>
  <c r="D246" i="6"/>
  <c r="C247" i="6"/>
  <c r="D247" i="6"/>
  <c r="C248" i="6"/>
  <c r="D248" i="6"/>
  <c r="C249" i="6"/>
  <c r="D249" i="6"/>
  <c r="C250" i="6"/>
  <c r="D250" i="6"/>
  <c r="C251" i="6"/>
  <c r="D251" i="6"/>
  <c r="C252" i="6"/>
  <c r="D252" i="6"/>
  <c r="C253" i="6"/>
  <c r="D253" i="6"/>
  <c r="C254" i="6"/>
  <c r="D254" i="6"/>
  <c r="C255" i="6"/>
  <c r="D255" i="6"/>
  <c r="C256" i="6"/>
  <c r="D256" i="6"/>
  <c r="C257" i="6"/>
  <c r="D257" i="6"/>
  <c r="C258" i="6"/>
  <c r="D258" i="6"/>
  <c r="C259" i="6"/>
  <c r="D259" i="6"/>
  <c r="C260" i="6"/>
  <c r="D260" i="6"/>
  <c r="C261" i="6"/>
  <c r="D261" i="6"/>
  <c r="C262" i="6"/>
  <c r="D262" i="6"/>
  <c r="C263" i="6"/>
  <c r="D263" i="6"/>
  <c r="C264" i="6"/>
  <c r="D264" i="6"/>
  <c r="C265" i="6"/>
  <c r="D265" i="6"/>
  <c r="C266" i="6"/>
  <c r="D266" i="6"/>
  <c r="C267" i="6"/>
  <c r="D267" i="6"/>
  <c r="C268" i="6"/>
  <c r="D268" i="6"/>
  <c r="C269" i="6"/>
  <c r="D269" i="6"/>
  <c r="C270" i="6"/>
  <c r="D270" i="6"/>
  <c r="C271" i="6"/>
  <c r="D271" i="6"/>
  <c r="C272" i="6"/>
  <c r="D272" i="6"/>
  <c r="C273" i="6"/>
  <c r="D273" i="6"/>
  <c r="C274" i="6"/>
  <c r="D274" i="6"/>
  <c r="C275" i="6"/>
  <c r="D275" i="6"/>
  <c r="C276" i="6"/>
  <c r="D276" i="6"/>
  <c r="C277" i="6"/>
  <c r="D277" i="6"/>
  <c r="C278" i="6"/>
  <c r="D278" i="6"/>
  <c r="C279" i="6"/>
  <c r="D279" i="6"/>
  <c r="C280" i="6"/>
  <c r="D280" i="6"/>
  <c r="C281" i="6"/>
  <c r="D281" i="6"/>
  <c r="C282" i="6"/>
  <c r="D282" i="6"/>
  <c r="C283" i="6"/>
  <c r="D283" i="6"/>
  <c r="C284" i="6"/>
  <c r="D284" i="6"/>
  <c r="C285" i="6"/>
  <c r="D285" i="6"/>
  <c r="C286" i="6"/>
  <c r="D286" i="6"/>
  <c r="C287" i="6"/>
  <c r="D287" i="6"/>
  <c r="C288" i="6"/>
  <c r="D288" i="6"/>
  <c r="C289" i="6"/>
  <c r="D289" i="6"/>
  <c r="C290" i="6"/>
  <c r="D290" i="6"/>
  <c r="C291" i="6"/>
  <c r="D291" i="6"/>
  <c r="C292" i="6"/>
  <c r="D292" i="6"/>
  <c r="C293" i="6"/>
  <c r="D293" i="6"/>
  <c r="C294" i="6"/>
  <c r="D294" i="6"/>
  <c r="C295" i="6"/>
  <c r="D295" i="6"/>
  <c r="C296" i="6"/>
  <c r="D296" i="6"/>
  <c r="C297" i="6"/>
  <c r="D297" i="6"/>
  <c r="D8" i="6"/>
  <c r="F8" i="3" s="1"/>
  <c r="D8" i="5" s="1"/>
  <c r="C8" i="6"/>
  <c r="D8" i="3" s="1"/>
  <c r="B73" i="6" l="1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E88" i="3" s="1"/>
  <c r="C88" i="3"/>
  <c r="B89" i="3"/>
  <c r="E89" i="3" s="1"/>
  <c r="C89" i="3"/>
  <c r="B90" i="3"/>
  <c r="E90" i="3" s="1"/>
  <c r="C90" i="3"/>
  <c r="B91" i="3"/>
  <c r="C91" i="3"/>
  <c r="E91" i="3"/>
  <c r="B92" i="3"/>
  <c r="E92" i="3" s="1"/>
  <c r="C92" i="3"/>
  <c r="B93" i="3"/>
  <c r="E93" i="3" s="1"/>
  <c r="C93" i="3"/>
  <c r="B94" i="3"/>
  <c r="E94" i="3" s="1"/>
  <c r="C94" i="3"/>
  <c r="B95" i="3"/>
  <c r="E95" i="3" s="1"/>
  <c r="C95" i="3"/>
  <c r="B96" i="3"/>
  <c r="E96" i="3" s="1"/>
  <c r="C96" i="3"/>
  <c r="B97" i="3"/>
  <c r="E97" i="3" s="1"/>
  <c r="C97" i="3"/>
  <c r="B98" i="3"/>
  <c r="E98" i="3" s="1"/>
  <c r="C98" i="3"/>
  <c r="B99" i="3"/>
  <c r="C99" i="3"/>
  <c r="E99" i="3"/>
  <c r="B100" i="3"/>
  <c r="E100" i="3" s="1"/>
  <c r="C100" i="3"/>
  <c r="B101" i="3"/>
  <c r="E101" i="3" s="1"/>
  <c r="C101" i="3"/>
  <c r="B102" i="3"/>
  <c r="E102" i="3" s="1"/>
  <c r="C102" i="3"/>
  <c r="B103" i="3"/>
  <c r="E103" i="3" s="1"/>
  <c r="C103" i="3"/>
  <c r="B104" i="3"/>
  <c r="E104" i="3" s="1"/>
  <c r="C104" i="3"/>
  <c r="B105" i="3"/>
  <c r="C105" i="3"/>
  <c r="E105" i="3"/>
  <c r="B106" i="3"/>
  <c r="E106" i="3" s="1"/>
  <c r="C106" i="3"/>
  <c r="B107" i="3"/>
  <c r="E107" i="3" s="1"/>
  <c r="C107" i="3"/>
  <c r="B108" i="3"/>
  <c r="E108" i="3" s="1"/>
  <c r="C108" i="3"/>
  <c r="B109" i="3"/>
  <c r="E109" i="3" s="1"/>
  <c r="C109" i="3"/>
  <c r="B110" i="3"/>
  <c r="E110" i="3" s="1"/>
  <c r="C110" i="3"/>
  <c r="B111" i="3"/>
  <c r="E111" i="3" s="1"/>
  <c r="C111" i="3"/>
  <c r="B112" i="3"/>
  <c r="E112" i="3" s="1"/>
  <c r="C112" i="3"/>
  <c r="B113" i="3"/>
  <c r="E113" i="3" s="1"/>
  <c r="C113" i="3"/>
  <c r="B114" i="3"/>
  <c r="E114" i="3" s="1"/>
  <c r="C114" i="3"/>
  <c r="B115" i="3"/>
  <c r="C115" i="3"/>
  <c r="E115" i="3"/>
  <c r="B116" i="3"/>
  <c r="E116" i="3" s="1"/>
  <c r="C116" i="3"/>
  <c r="B117" i="3"/>
  <c r="E117" i="3" s="1"/>
  <c r="C117" i="3"/>
  <c r="B118" i="3"/>
  <c r="E118" i="3" s="1"/>
  <c r="C118" i="3"/>
  <c r="B119" i="3"/>
  <c r="E119" i="3" s="1"/>
  <c r="C119" i="3"/>
  <c r="B120" i="3"/>
  <c r="E120" i="3" s="1"/>
  <c r="C120" i="3"/>
  <c r="B121" i="3"/>
  <c r="E121" i="3" s="1"/>
  <c r="C121" i="3"/>
  <c r="B122" i="3"/>
  <c r="E122" i="3" s="1"/>
  <c r="C122" i="3"/>
  <c r="B123" i="3"/>
  <c r="E123" i="3" s="1"/>
  <c r="C123" i="3"/>
  <c r="B124" i="3"/>
  <c r="E124" i="3" s="1"/>
  <c r="C124" i="3"/>
  <c r="B125" i="3"/>
  <c r="E125" i="3" s="1"/>
  <c r="C125" i="3"/>
  <c r="B126" i="3"/>
  <c r="E126" i="3" s="1"/>
  <c r="C126" i="3"/>
  <c r="B127" i="3"/>
  <c r="E127" i="3" s="1"/>
  <c r="C127" i="3"/>
  <c r="B128" i="3"/>
  <c r="E128" i="3" s="1"/>
  <c r="C128" i="3"/>
  <c r="B129" i="3"/>
  <c r="E129" i="3" s="1"/>
  <c r="C129" i="3"/>
  <c r="B130" i="3"/>
  <c r="E130" i="3" s="1"/>
  <c r="C130" i="3"/>
  <c r="B131" i="3"/>
  <c r="E131" i="3" s="1"/>
  <c r="C131" i="3"/>
  <c r="B132" i="3"/>
  <c r="E132" i="3" s="1"/>
  <c r="C132" i="3"/>
  <c r="B133" i="3"/>
  <c r="E133" i="3" s="1"/>
  <c r="C133" i="3"/>
  <c r="B134" i="3"/>
  <c r="E134" i="3" s="1"/>
  <c r="C134" i="3"/>
  <c r="B135" i="3"/>
  <c r="E135" i="3" s="1"/>
  <c r="C135" i="3"/>
  <c r="B136" i="3"/>
  <c r="E136" i="3" s="1"/>
  <c r="C136" i="3"/>
  <c r="B137" i="3"/>
  <c r="E137" i="3" s="1"/>
  <c r="C137" i="3"/>
  <c r="B138" i="3"/>
  <c r="E138" i="3" s="1"/>
  <c r="C138" i="3"/>
  <c r="B139" i="3"/>
  <c r="E139" i="3" s="1"/>
  <c r="C139" i="3"/>
  <c r="B140" i="3"/>
  <c r="E140" i="3" s="1"/>
  <c r="C140" i="3"/>
  <c r="B141" i="3"/>
  <c r="E141" i="3" s="1"/>
  <c r="C141" i="3"/>
  <c r="B142" i="3"/>
  <c r="E142" i="3" s="1"/>
  <c r="C142" i="3"/>
  <c r="B143" i="3"/>
  <c r="E143" i="3" s="1"/>
  <c r="C143" i="3"/>
  <c r="B144" i="3"/>
  <c r="E144" i="3" s="1"/>
  <c r="C144" i="3"/>
  <c r="B145" i="3"/>
  <c r="E145" i="3" s="1"/>
  <c r="C145" i="3"/>
  <c r="B146" i="3"/>
  <c r="E146" i="3" s="1"/>
  <c r="C146" i="3"/>
  <c r="B147" i="3"/>
  <c r="E147" i="3" s="1"/>
  <c r="C147" i="3"/>
  <c r="B148" i="3"/>
  <c r="E148" i="3" s="1"/>
  <c r="C148" i="3"/>
  <c r="B149" i="3"/>
  <c r="E149" i="3" s="1"/>
  <c r="C149" i="3"/>
  <c r="B150" i="3"/>
  <c r="E150" i="3" s="1"/>
  <c r="C150" i="3"/>
  <c r="B151" i="3"/>
  <c r="E151" i="3" s="1"/>
  <c r="C151" i="3"/>
  <c r="B152" i="3"/>
  <c r="E152" i="3" s="1"/>
  <c r="C152" i="3"/>
  <c r="B153" i="3"/>
  <c r="E153" i="3" s="1"/>
  <c r="C153" i="3"/>
  <c r="B154" i="3"/>
  <c r="E154" i="3" s="1"/>
  <c r="C154" i="3"/>
  <c r="B155" i="3"/>
  <c r="C155" i="3"/>
  <c r="E155" i="3"/>
  <c r="B156" i="3"/>
  <c r="E156" i="3" s="1"/>
  <c r="C156" i="3"/>
  <c r="B157" i="3"/>
  <c r="E157" i="3" s="1"/>
  <c r="C157" i="3"/>
  <c r="B158" i="3"/>
  <c r="E158" i="3" s="1"/>
  <c r="C158" i="3"/>
  <c r="B159" i="3"/>
  <c r="E159" i="3" s="1"/>
  <c r="C159" i="3"/>
  <c r="B160" i="3"/>
  <c r="E160" i="3" s="1"/>
  <c r="C160" i="3"/>
  <c r="B161" i="3"/>
  <c r="E161" i="3" s="1"/>
  <c r="C161" i="3"/>
  <c r="B162" i="3"/>
  <c r="E162" i="3" s="1"/>
  <c r="C162" i="3"/>
  <c r="B163" i="3"/>
  <c r="E163" i="3" s="1"/>
  <c r="C163" i="3"/>
  <c r="B164" i="3"/>
  <c r="E164" i="3" s="1"/>
  <c r="C164" i="3"/>
  <c r="B165" i="3"/>
  <c r="E165" i="3" s="1"/>
  <c r="C165" i="3"/>
  <c r="B166" i="3"/>
  <c r="E166" i="3" s="1"/>
  <c r="C166" i="3"/>
  <c r="B167" i="3"/>
  <c r="E167" i="3" s="1"/>
  <c r="C167" i="3"/>
  <c r="B168" i="3"/>
  <c r="E168" i="3" s="1"/>
  <c r="C168" i="3"/>
  <c r="B169" i="3"/>
  <c r="E169" i="3" s="1"/>
  <c r="C169" i="3"/>
  <c r="B170" i="3"/>
  <c r="E170" i="3" s="1"/>
  <c r="C170" i="3"/>
  <c r="B171" i="3"/>
  <c r="E171" i="3" s="1"/>
  <c r="C171" i="3"/>
  <c r="B172" i="3"/>
  <c r="E172" i="3" s="1"/>
  <c r="C172" i="3"/>
  <c r="B173" i="3"/>
  <c r="E173" i="3" s="1"/>
  <c r="C173" i="3"/>
  <c r="B174" i="3"/>
  <c r="E174" i="3" s="1"/>
  <c r="C174" i="3"/>
  <c r="B175" i="3"/>
  <c r="E175" i="3" s="1"/>
  <c r="C175" i="3"/>
  <c r="B176" i="3"/>
  <c r="E176" i="3" s="1"/>
  <c r="C176" i="3"/>
  <c r="B177" i="3"/>
  <c r="E177" i="3" s="1"/>
  <c r="C177" i="3"/>
  <c r="B178" i="3"/>
  <c r="E178" i="3" s="1"/>
  <c r="C178" i="3"/>
  <c r="B179" i="3"/>
  <c r="E179" i="3" s="1"/>
  <c r="C179" i="3"/>
  <c r="B180" i="3"/>
  <c r="E180" i="3" s="1"/>
  <c r="C180" i="3"/>
  <c r="B181" i="3"/>
  <c r="E181" i="3" s="1"/>
  <c r="C181" i="3"/>
  <c r="B182" i="3"/>
  <c r="E182" i="3" s="1"/>
  <c r="C182" i="3"/>
  <c r="B183" i="3"/>
  <c r="E183" i="3" s="1"/>
  <c r="C183" i="3"/>
  <c r="B184" i="3"/>
  <c r="E184" i="3" s="1"/>
  <c r="C184" i="3"/>
  <c r="B185" i="3"/>
  <c r="E185" i="3" s="1"/>
  <c r="C185" i="3"/>
  <c r="B186" i="3"/>
  <c r="E186" i="3" s="1"/>
  <c r="C186" i="3"/>
  <c r="B187" i="3"/>
  <c r="E187" i="3" s="1"/>
  <c r="C187" i="3"/>
  <c r="B188" i="3"/>
  <c r="E188" i="3" s="1"/>
  <c r="C188" i="3"/>
  <c r="B189" i="3"/>
  <c r="C189" i="3"/>
  <c r="E189" i="3"/>
  <c r="B190" i="3"/>
  <c r="E190" i="3" s="1"/>
  <c r="C190" i="3"/>
  <c r="B191" i="3"/>
  <c r="E191" i="3" s="1"/>
  <c r="C191" i="3"/>
  <c r="B192" i="3"/>
  <c r="E192" i="3" s="1"/>
  <c r="C192" i="3"/>
  <c r="B193" i="3"/>
  <c r="E193" i="3" s="1"/>
  <c r="C193" i="3"/>
  <c r="B194" i="3"/>
  <c r="E194" i="3" s="1"/>
  <c r="C194" i="3"/>
  <c r="B195" i="3"/>
  <c r="E195" i="3" s="1"/>
  <c r="C195" i="3"/>
  <c r="B196" i="3"/>
  <c r="E196" i="3" s="1"/>
  <c r="C196" i="3"/>
  <c r="B197" i="3"/>
  <c r="E197" i="3" s="1"/>
  <c r="C197" i="3"/>
  <c r="B198" i="3"/>
  <c r="E198" i="3" s="1"/>
  <c r="C198" i="3"/>
  <c r="B199" i="3"/>
  <c r="E199" i="3" s="1"/>
  <c r="C199" i="3"/>
  <c r="B200" i="3"/>
  <c r="E200" i="3" s="1"/>
  <c r="C200" i="3"/>
  <c r="B201" i="3"/>
  <c r="E201" i="3" s="1"/>
  <c r="C201" i="3"/>
  <c r="B202" i="3"/>
  <c r="E202" i="3" s="1"/>
  <c r="C202" i="3"/>
  <c r="B203" i="3"/>
  <c r="E203" i="3" s="1"/>
  <c r="C203" i="3"/>
  <c r="B204" i="3"/>
  <c r="E204" i="3" s="1"/>
  <c r="C204" i="3"/>
  <c r="B205" i="3"/>
  <c r="E205" i="3" s="1"/>
  <c r="C205" i="3"/>
  <c r="B206" i="3"/>
  <c r="E206" i="3" s="1"/>
  <c r="C206" i="3"/>
  <c r="B207" i="3"/>
  <c r="E207" i="3" s="1"/>
  <c r="C207" i="3"/>
  <c r="B208" i="3"/>
  <c r="E208" i="3" s="1"/>
  <c r="C208" i="3"/>
  <c r="B209" i="3"/>
  <c r="E209" i="3" s="1"/>
  <c r="C209" i="3"/>
  <c r="B210" i="3"/>
  <c r="E210" i="3" s="1"/>
  <c r="C210" i="3"/>
  <c r="B211" i="3"/>
  <c r="E211" i="3" s="1"/>
  <c r="C211" i="3"/>
  <c r="B212" i="3"/>
  <c r="E212" i="3" s="1"/>
  <c r="C212" i="3"/>
  <c r="B213" i="3"/>
  <c r="E213" i="3" s="1"/>
  <c r="C213" i="3"/>
  <c r="B214" i="3"/>
  <c r="E214" i="3" s="1"/>
  <c r="C214" i="3"/>
  <c r="B215" i="3"/>
  <c r="E215" i="3" s="1"/>
  <c r="C215" i="3"/>
  <c r="B216" i="3"/>
  <c r="E216" i="3" s="1"/>
  <c r="C216" i="3"/>
  <c r="B217" i="3"/>
  <c r="E217" i="3" s="1"/>
  <c r="C217" i="3"/>
  <c r="B218" i="3"/>
  <c r="E218" i="3" s="1"/>
  <c r="C218" i="3"/>
  <c r="B219" i="3"/>
  <c r="E219" i="3" s="1"/>
  <c r="C219" i="3"/>
  <c r="B220" i="3"/>
  <c r="E220" i="3" s="1"/>
  <c r="C220" i="3"/>
  <c r="B221" i="3"/>
  <c r="E221" i="3" s="1"/>
  <c r="C221" i="3"/>
  <c r="B222" i="3"/>
  <c r="E222" i="3" s="1"/>
  <c r="C222" i="3"/>
  <c r="B223" i="3"/>
  <c r="C223" i="3"/>
  <c r="E223" i="3"/>
  <c r="B224" i="3"/>
  <c r="E224" i="3" s="1"/>
  <c r="C224" i="3"/>
  <c r="B225" i="3"/>
  <c r="E225" i="3" s="1"/>
  <c r="C225" i="3"/>
  <c r="B226" i="3"/>
  <c r="E226" i="3" s="1"/>
  <c r="C226" i="3"/>
  <c r="B227" i="3"/>
  <c r="E227" i="3" s="1"/>
  <c r="C227" i="3"/>
  <c r="B228" i="3"/>
  <c r="E228" i="3" s="1"/>
  <c r="C228" i="3"/>
  <c r="B229" i="3"/>
  <c r="E229" i="3" s="1"/>
  <c r="C229" i="3"/>
  <c r="B230" i="3"/>
  <c r="E230" i="3" s="1"/>
  <c r="C230" i="3"/>
  <c r="B231" i="3"/>
  <c r="E231" i="3" s="1"/>
  <c r="C231" i="3"/>
  <c r="B232" i="3"/>
  <c r="E232" i="3" s="1"/>
  <c r="C232" i="3"/>
  <c r="B233" i="3"/>
  <c r="E233" i="3" s="1"/>
  <c r="C233" i="3"/>
  <c r="B234" i="3"/>
  <c r="E234" i="3" s="1"/>
  <c r="C234" i="3"/>
  <c r="B235" i="3"/>
  <c r="E235" i="3" s="1"/>
  <c r="C235" i="3"/>
  <c r="B236" i="3"/>
  <c r="E236" i="3" s="1"/>
  <c r="C236" i="3"/>
  <c r="B237" i="3"/>
  <c r="E237" i="3" s="1"/>
  <c r="C237" i="3"/>
  <c r="B238" i="3"/>
  <c r="E238" i="3" s="1"/>
  <c r="C238" i="3"/>
  <c r="B239" i="3"/>
  <c r="E239" i="3" s="1"/>
  <c r="C239" i="3"/>
  <c r="B240" i="3"/>
  <c r="E240" i="3" s="1"/>
  <c r="C240" i="3"/>
  <c r="B241" i="3"/>
  <c r="E241" i="3" s="1"/>
  <c r="C241" i="3"/>
  <c r="B242" i="3"/>
  <c r="E242" i="3" s="1"/>
  <c r="C242" i="3"/>
  <c r="B243" i="3"/>
  <c r="E243" i="3" s="1"/>
  <c r="C243" i="3"/>
  <c r="B244" i="3"/>
  <c r="E244" i="3" s="1"/>
  <c r="C244" i="3"/>
  <c r="B245" i="3"/>
  <c r="E245" i="3" s="1"/>
  <c r="C245" i="3"/>
  <c r="B246" i="3"/>
  <c r="E246" i="3" s="1"/>
  <c r="C246" i="3"/>
  <c r="B247" i="3"/>
  <c r="E247" i="3" s="1"/>
  <c r="C247" i="3"/>
  <c r="B248" i="3"/>
  <c r="E248" i="3" s="1"/>
  <c r="C248" i="3"/>
  <c r="B249" i="3"/>
  <c r="E249" i="3" s="1"/>
  <c r="C249" i="3"/>
  <c r="B250" i="3"/>
  <c r="E250" i="3" s="1"/>
  <c r="C250" i="3"/>
  <c r="B251" i="3"/>
  <c r="E251" i="3" s="1"/>
  <c r="C251" i="3"/>
  <c r="B252" i="3"/>
  <c r="E252" i="3" s="1"/>
  <c r="C252" i="3"/>
  <c r="B253" i="3"/>
  <c r="E253" i="3" s="1"/>
  <c r="C253" i="3"/>
  <c r="B254" i="3"/>
  <c r="E254" i="3" s="1"/>
  <c r="C254" i="3"/>
  <c r="B255" i="3"/>
  <c r="E255" i="3" s="1"/>
  <c r="C255" i="3"/>
  <c r="B256" i="3"/>
  <c r="E256" i="3" s="1"/>
  <c r="C256" i="3"/>
  <c r="B257" i="3"/>
  <c r="E257" i="3" s="1"/>
  <c r="C257" i="3"/>
  <c r="B258" i="3"/>
  <c r="E258" i="3" s="1"/>
  <c r="C258" i="3"/>
  <c r="B259" i="3"/>
  <c r="E259" i="3" s="1"/>
  <c r="C259" i="3"/>
  <c r="B260" i="3"/>
  <c r="E260" i="3" s="1"/>
  <c r="C260" i="3"/>
  <c r="B261" i="3"/>
  <c r="E261" i="3" s="1"/>
  <c r="C261" i="3"/>
  <c r="B262" i="3"/>
  <c r="E262" i="3" s="1"/>
  <c r="C262" i="3"/>
  <c r="B263" i="3"/>
  <c r="E263" i="3" s="1"/>
  <c r="C263" i="3"/>
  <c r="B264" i="3"/>
  <c r="E264" i="3" s="1"/>
  <c r="C264" i="3"/>
  <c r="B265" i="3"/>
  <c r="E265" i="3" s="1"/>
  <c r="C265" i="3"/>
  <c r="B266" i="3"/>
  <c r="E266" i="3" s="1"/>
  <c r="C266" i="3"/>
  <c r="B267" i="3"/>
  <c r="E267" i="3" s="1"/>
  <c r="C267" i="3"/>
  <c r="B268" i="3"/>
  <c r="E268" i="3" s="1"/>
  <c r="C268" i="3"/>
  <c r="B269" i="3"/>
  <c r="E269" i="3" s="1"/>
  <c r="C269" i="3"/>
  <c r="B270" i="3"/>
  <c r="E270" i="3" s="1"/>
  <c r="C270" i="3"/>
  <c r="B271" i="3"/>
  <c r="E271" i="3" s="1"/>
  <c r="C271" i="3"/>
  <c r="B272" i="3"/>
  <c r="E272" i="3" s="1"/>
  <c r="C272" i="3"/>
  <c r="B273" i="3"/>
  <c r="E273" i="3" s="1"/>
  <c r="C273" i="3"/>
  <c r="B274" i="3"/>
  <c r="E274" i="3" s="1"/>
  <c r="C274" i="3"/>
  <c r="B275" i="3"/>
  <c r="E275" i="3" s="1"/>
  <c r="C275" i="3"/>
  <c r="B276" i="3"/>
  <c r="E276" i="3" s="1"/>
  <c r="C276" i="3"/>
  <c r="B277" i="3"/>
  <c r="E277" i="3" s="1"/>
  <c r="C277" i="3"/>
  <c r="B278" i="3"/>
  <c r="E278" i="3" s="1"/>
  <c r="C278" i="3"/>
  <c r="B279" i="3"/>
  <c r="E279" i="3" s="1"/>
  <c r="C279" i="3"/>
  <c r="B280" i="3"/>
  <c r="E280" i="3" s="1"/>
  <c r="C280" i="3"/>
  <c r="B281" i="3"/>
  <c r="E281" i="3" s="1"/>
  <c r="C281" i="3"/>
  <c r="B282" i="3"/>
  <c r="E282" i="3" s="1"/>
  <c r="C282" i="3"/>
  <c r="B283" i="3"/>
  <c r="E283" i="3" s="1"/>
  <c r="C283" i="3"/>
  <c r="B284" i="3"/>
  <c r="E284" i="3" s="1"/>
  <c r="C284" i="3"/>
  <c r="B285" i="3"/>
  <c r="E285" i="3" s="1"/>
  <c r="C285" i="3"/>
  <c r="B286" i="3"/>
  <c r="E286" i="3" s="1"/>
  <c r="C286" i="3"/>
  <c r="B287" i="3"/>
  <c r="E287" i="3" s="1"/>
  <c r="C287" i="3"/>
  <c r="B288" i="3"/>
  <c r="E288" i="3" s="1"/>
  <c r="C288" i="3"/>
  <c r="B289" i="3"/>
  <c r="E289" i="3" s="1"/>
  <c r="C289" i="3"/>
  <c r="B290" i="3"/>
  <c r="E290" i="3" s="1"/>
  <c r="C290" i="3"/>
  <c r="B291" i="3"/>
  <c r="E291" i="3" s="1"/>
  <c r="C291" i="3"/>
  <c r="B292" i="3"/>
  <c r="E292" i="3" s="1"/>
  <c r="C292" i="3"/>
  <c r="B293" i="3"/>
  <c r="E293" i="3" s="1"/>
  <c r="C293" i="3"/>
  <c r="B294" i="3"/>
  <c r="E294" i="3" s="1"/>
  <c r="C294" i="3"/>
  <c r="B295" i="3"/>
  <c r="E295" i="3" s="1"/>
  <c r="C295" i="3"/>
  <c r="B296" i="3"/>
  <c r="E296" i="3" s="1"/>
  <c r="C296" i="3"/>
  <c r="B297" i="3"/>
  <c r="E297" i="3" s="1"/>
  <c r="C297" i="3"/>
  <c r="B298" i="3"/>
  <c r="E298" i="3" s="1"/>
  <c r="C298" i="3"/>
  <c r="B299" i="3"/>
  <c r="E299" i="3" s="1"/>
  <c r="C299" i="3"/>
  <c r="B300" i="3"/>
  <c r="E300" i="3" s="1"/>
  <c r="C300" i="3"/>
  <c r="B301" i="3"/>
  <c r="E301" i="3" s="1"/>
  <c r="C301" i="3"/>
  <c r="B302" i="3"/>
  <c r="E302" i="3" s="1"/>
  <c r="C302" i="3"/>
  <c r="B303" i="3"/>
  <c r="E303" i="3" s="1"/>
  <c r="C303" i="3"/>
  <c r="B304" i="3"/>
  <c r="C304" i="3"/>
  <c r="E304" i="3"/>
  <c r="B305" i="3"/>
  <c r="E305" i="3" s="1"/>
  <c r="C305" i="3"/>
  <c r="B306" i="3"/>
  <c r="E306" i="3" s="1"/>
  <c r="C306" i="3"/>
  <c r="B307" i="3"/>
  <c r="E307" i="3" s="1"/>
  <c r="C307" i="3"/>
  <c r="B308" i="3"/>
  <c r="E308" i="3" s="1"/>
  <c r="C308" i="3"/>
  <c r="B309" i="3"/>
  <c r="E309" i="3" s="1"/>
  <c r="C309" i="3"/>
  <c r="B310" i="3"/>
  <c r="E310" i="3" s="1"/>
  <c r="C310" i="3"/>
  <c r="B311" i="3"/>
  <c r="E311" i="3" s="1"/>
  <c r="C311" i="3"/>
  <c r="B312" i="3"/>
  <c r="E312" i="3" s="1"/>
  <c r="C312" i="3"/>
  <c r="B313" i="3"/>
  <c r="E313" i="3" s="1"/>
  <c r="C313" i="3"/>
  <c r="B314" i="3"/>
  <c r="E314" i="3" s="1"/>
  <c r="C314" i="3"/>
  <c r="B315" i="3"/>
  <c r="E315" i="3" s="1"/>
  <c r="C315" i="3"/>
  <c r="B316" i="3"/>
  <c r="C316" i="3"/>
  <c r="E316" i="3"/>
  <c r="B317" i="3"/>
  <c r="E317" i="3" s="1"/>
  <c r="C317" i="3"/>
  <c r="B318" i="3"/>
  <c r="E318" i="3" s="1"/>
  <c r="C318" i="3"/>
  <c r="B319" i="3"/>
  <c r="E319" i="3" s="1"/>
  <c r="C319" i="3"/>
  <c r="B320" i="3"/>
  <c r="E320" i="3" s="1"/>
  <c r="C320" i="3"/>
  <c r="B321" i="3"/>
  <c r="E321" i="3" s="1"/>
  <c r="C321" i="3"/>
  <c r="B322" i="3"/>
  <c r="E322" i="3" s="1"/>
  <c r="C322" i="3"/>
  <c r="B323" i="3"/>
  <c r="E323" i="3" s="1"/>
  <c r="C323" i="3"/>
  <c r="B324" i="3"/>
  <c r="C324" i="3"/>
  <c r="E324" i="3"/>
  <c r="B325" i="3"/>
  <c r="E325" i="3" s="1"/>
  <c r="C325" i="3"/>
  <c r="B326" i="3"/>
  <c r="E326" i="3" s="1"/>
  <c r="C326" i="3"/>
  <c r="B327" i="3"/>
  <c r="E327" i="3" s="1"/>
  <c r="C327" i="3"/>
  <c r="B328" i="3"/>
  <c r="E328" i="3" s="1"/>
  <c r="C328" i="3"/>
  <c r="B329" i="3"/>
  <c r="E329" i="3" s="1"/>
  <c r="C329" i="3"/>
  <c r="B330" i="3"/>
  <c r="E330" i="3" s="1"/>
  <c r="C330" i="3"/>
  <c r="B331" i="3"/>
  <c r="E331" i="3" s="1"/>
  <c r="C331" i="3"/>
  <c r="B332" i="3"/>
  <c r="E332" i="3" s="1"/>
  <c r="C332" i="3"/>
  <c r="B333" i="3"/>
  <c r="E333" i="3" s="1"/>
  <c r="C333" i="3"/>
  <c r="B334" i="3"/>
  <c r="E334" i="3" s="1"/>
  <c r="C334" i="3"/>
  <c r="B335" i="3"/>
  <c r="E335" i="3" s="1"/>
  <c r="C335" i="3"/>
  <c r="B336" i="3"/>
  <c r="E336" i="3" s="1"/>
  <c r="C336" i="3"/>
  <c r="B337" i="3"/>
  <c r="E337" i="3" s="1"/>
  <c r="C337" i="3"/>
  <c r="B338" i="3"/>
  <c r="E338" i="3" s="1"/>
  <c r="C338" i="3"/>
  <c r="B339" i="3"/>
  <c r="E339" i="3" s="1"/>
  <c r="C339" i="3"/>
  <c r="B340" i="3"/>
  <c r="E340" i="3" s="1"/>
  <c r="C340" i="3"/>
  <c r="B341" i="3"/>
  <c r="E341" i="3" s="1"/>
  <c r="C341" i="3"/>
  <c r="B342" i="3"/>
  <c r="C342" i="3"/>
  <c r="E342" i="3"/>
  <c r="B343" i="3"/>
  <c r="E343" i="3" s="1"/>
  <c r="C343" i="3"/>
  <c r="B344" i="3"/>
  <c r="E344" i="3" s="1"/>
  <c r="C344" i="3"/>
  <c r="B345" i="3"/>
  <c r="E345" i="3" s="1"/>
  <c r="C345" i="3"/>
  <c r="B346" i="3"/>
  <c r="E346" i="3" s="1"/>
  <c r="C346" i="3"/>
  <c r="B347" i="3"/>
  <c r="E347" i="3" s="1"/>
  <c r="C347" i="3"/>
  <c r="B348" i="3"/>
  <c r="C348" i="3"/>
  <c r="E348" i="3"/>
  <c r="B349" i="3"/>
  <c r="E349" i="3" s="1"/>
  <c r="C349" i="3"/>
  <c r="B350" i="3"/>
  <c r="E350" i="3" s="1"/>
  <c r="C350" i="3"/>
  <c r="B351" i="3"/>
  <c r="E351" i="3" s="1"/>
  <c r="C351" i="3"/>
  <c r="B352" i="3"/>
  <c r="E352" i="3" s="1"/>
  <c r="C352" i="3"/>
  <c r="B353" i="3"/>
  <c r="E353" i="3" s="1"/>
  <c r="C353" i="3"/>
  <c r="B354" i="3"/>
  <c r="E354" i="3" s="1"/>
  <c r="C354" i="3"/>
  <c r="B355" i="3"/>
  <c r="E355" i="3" s="1"/>
  <c r="C355" i="3"/>
  <c r="B356" i="3"/>
  <c r="E356" i="3" s="1"/>
  <c r="C356" i="3"/>
  <c r="B357" i="3"/>
  <c r="E357" i="3" s="1"/>
  <c r="C357" i="3"/>
  <c r="B358" i="3"/>
  <c r="E358" i="3" s="1"/>
  <c r="C358" i="3"/>
  <c r="B359" i="3"/>
  <c r="E359" i="3" s="1"/>
  <c r="C359" i="3"/>
  <c r="B360" i="3"/>
  <c r="E360" i="3" s="1"/>
  <c r="C360" i="3"/>
  <c r="B361" i="3"/>
  <c r="E361" i="3" s="1"/>
  <c r="C361" i="3"/>
  <c r="B362" i="3"/>
  <c r="E362" i="3" s="1"/>
  <c r="C362" i="3"/>
  <c r="B363" i="3"/>
  <c r="E363" i="3" s="1"/>
  <c r="C363" i="3"/>
  <c r="B364" i="3"/>
  <c r="E364" i="3" s="1"/>
  <c r="C364" i="3"/>
  <c r="B365" i="3"/>
  <c r="E365" i="3" s="1"/>
  <c r="C365" i="3"/>
  <c r="B366" i="3"/>
  <c r="E366" i="3" s="1"/>
  <c r="C366" i="3"/>
  <c r="B367" i="3"/>
  <c r="E367" i="3" s="1"/>
  <c r="C367" i="3"/>
  <c r="B368" i="3"/>
  <c r="E368" i="3" s="1"/>
  <c r="C368" i="3"/>
  <c r="B369" i="3"/>
  <c r="E369" i="3" s="1"/>
  <c r="C369" i="3"/>
  <c r="B370" i="3"/>
  <c r="E370" i="3" s="1"/>
  <c r="C370" i="3"/>
  <c r="B371" i="3"/>
  <c r="E371" i="3" s="1"/>
  <c r="C371" i="3"/>
  <c r="B372" i="3"/>
  <c r="E372" i="3" s="1"/>
  <c r="C372" i="3"/>
  <c r="B373" i="3"/>
  <c r="E373" i="3" s="1"/>
  <c r="C373" i="3"/>
  <c r="B374" i="3"/>
  <c r="E374" i="3" s="1"/>
  <c r="C374" i="3"/>
  <c r="B375" i="3"/>
  <c r="E375" i="3" s="1"/>
  <c r="C375" i="3"/>
  <c r="B376" i="3"/>
  <c r="E376" i="3" s="1"/>
  <c r="C376" i="3"/>
  <c r="B377" i="3"/>
  <c r="E377" i="3" s="1"/>
  <c r="C377" i="3"/>
  <c r="B378" i="3"/>
  <c r="E378" i="3" s="1"/>
  <c r="C378" i="3"/>
  <c r="B379" i="3"/>
  <c r="E379" i="3" s="1"/>
  <c r="C379" i="3"/>
  <c r="B380" i="3"/>
  <c r="E380" i="3" s="1"/>
  <c r="C380" i="3"/>
  <c r="B381" i="3"/>
  <c r="E381" i="3" s="1"/>
  <c r="C381" i="3"/>
  <c r="B382" i="3"/>
  <c r="E382" i="3" s="1"/>
  <c r="C382" i="3"/>
  <c r="B383" i="3"/>
  <c r="E383" i="3" s="1"/>
  <c r="C383" i="3"/>
  <c r="B384" i="3"/>
  <c r="E384" i="3" s="1"/>
  <c r="C384" i="3"/>
  <c r="B385" i="3"/>
  <c r="E385" i="3" s="1"/>
  <c r="C385" i="3"/>
  <c r="B386" i="3"/>
  <c r="E386" i="3" s="1"/>
  <c r="C386" i="3"/>
  <c r="B387" i="3"/>
  <c r="E387" i="3" s="1"/>
  <c r="C387" i="3"/>
  <c r="B388" i="3"/>
  <c r="E388" i="3" s="1"/>
  <c r="C388" i="3"/>
  <c r="B389" i="3"/>
  <c r="E389" i="3" s="1"/>
  <c r="C389" i="3"/>
  <c r="B390" i="3"/>
  <c r="E390" i="3" s="1"/>
  <c r="C390" i="3"/>
  <c r="B391" i="3"/>
  <c r="E391" i="3" s="1"/>
  <c r="C391" i="3"/>
  <c r="B392" i="3"/>
  <c r="E392" i="3" s="1"/>
  <c r="C392" i="3"/>
  <c r="B393" i="3"/>
  <c r="E393" i="3" s="1"/>
  <c r="C393" i="3"/>
  <c r="B394" i="3"/>
  <c r="E394" i="3" s="1"/>
  <c r="C394" i="3"/>
  <c r="B395" i="3"/>
  <c r="C395" i="3"/>
  <c r="E395" i="3"/>
  <c r="B396" i="3"/>
  <c r="E396" i="3" s="1"/>
  <c r="C396" i="3"/>
  <c r="B397" i="3"/>
  <c r="E397" i="3" s="1"/>
  <c r="C397" i="3"/>
  <c r="B398" i="3"/>
  <c r="E398" i="3" s="1"/>
  <c r="C398" i="3"/>
  <c r="B399" i="3"/>
  <c r="E399" i="3" s="1"/>
  <c r="C399" i="3"/>
  <c r="B400" i="3"/>
  <c r="E400" i="3" s="1"/>
  <c r="C400" i="3"/>
  <c r="B401" i="3"/>
  <c r="E401" i="3" s="1"/>
  <c r="C401" i="3"/>
  <c r="B402" i="3"/>
  <c r="E402" i="3" s="1"/>
  <c r="C402" i="3"/>
  <c r="B403" i="3"/>
  <c r="E403" i="3" s="1"/>
  <c r="C403" i="3"/>
  <c r="B404" i="3"/>
  <c r="E404" i="3" s="1"/>
  <c r="C404" i="3"/>
  <c r="B405" i="3"/>
  <c r="E405" i="3" s="1"/>
  <c r="C405" i="3"/>
  <c r="B406" i="3"/>
  <c r="E406" i="3" s="1"/>
  <c r="C406" i="3"/>
  <c r="B407" i="3"/>
  <c r="E407" i="3" s="1"/>
  <c r="C407" i="3"/>
  <c r="B408" i="3"/>
  <c r="E408" i="3" s="1"/>
  <c r="C408" i="3"/>
  <c r="B409" i="3"/>
  <c r="E409" i="3" s="1"/>
  <c r="C409" i="3"/>
  <c r="B410" i="3"/>
  <c r="E410" i="3" s="1"/>
  <c r="C410" i="3"/>
  <c r="B411" i="3"/>
  <c r="C411" i="3"/>
  <c r="E411" i="3"/>
  <c r="B412" i="3"/>
  <c r="E412" i="3" s="1"/>
  <c r="C412" i="3"/>
  <c r="B413" i="3"/>
  <c r="E413" i="3" s="1"/>
  <c r="C413" i="3"/>
  <c r="B414" i="3"/>
  <c r="E414" i="3" s="1"/>
  <c r="C414" i="3"/>
  <c r="B415" i="3"/>
  <c r="E415" i="3" s="1"/>
  <c r="C415" i="3"/>
  <c r="B416" i="3"/>
  <c r="E416" i="3" s="1"/>
  <c r="C416" i="3"/>
  <c r="B417" i="3"/>
  <c r="E417" i="3" s="1"/>
  <c r="C417" i="3"/>
  <c r="B418" i="3"/>
  <c r="E418" i="3" s="1"/>
  <c r="C418" i="3"/>
  <c r="B419" i="3"/>
  <c r="C419" i="3"/>
  <c r="E419" i="3"/>
  <c r="B420" i="3"/>
  <c r="E420" i="3" s="1"/>
  <c r="C420" i="3"/>
  <c r="B421" i="3"/>
  <c r="E421" i="3" s="1"/>
  <c r="C421" i="3"/>
  <c r="B422" i="3"/>
  <c r="E422" i="3" s="1"/>
  <c r="C422" i="3"/>
  <c r="B423" i="3"/>
  <c r="E423" i="3" s="1"/>
  <c r="C423" i="3"/>
  <c r="B424" i="3"/>
  <c r="E424" i="3" s="1"/>
  <c r="C424" i="3"/>
  <c r="B425" i="3"/>
  <c r="E425" i="3" s="1"/>
  <c r="C425" i="3"/>
  <c r="B426" i="3"/>
  <c r="E426" i="3" s="1"/>
  <c r="C426" i="3"/>
  <c r="B427" i="3"/>
  <c r="E427" i="3" s="1"/>
  <c r="C427" i="3"/>
  <c r="B428" i="3"/>
  <c r="E428" i="3" s="1"/>
  <c r="C428" i="3"/>
  <c r="B429" i="3"/>
  <c r="E429" i="3" s="1"/>
  <c r="C429" i="3"/>
  <c r="B430" i="3"/>
  <c r="E430" i="3" s="1"/>
  <c r="C430" i="3"/>
  <c r="B431" i="3"/>
  <c r="E431" i="3" s="1"/>
  <c r="C431" i="3"/>
  <c r="B432" i="3"/>
  <c r="E432" i="3" s="1"/>
  <c r="C432" i="3"/>
  <c r="B433" i="3"/>
  <c r="E433" i="3" s="1"/>
  <c r="C433" i="3"/>
  <c r="B434" i="3"/>
  <c r="E434" i="3" s="1"/>
  <c r="C434" i="3"/>
  <c r="B435" i="3"/>
  <c r="E435" i="3" s="1"/>
  <c r="C435" i="3"/>
  <c r="B436" i="3"/>
  <c r="E436" i="3" s="1"/>
  <c r="C436" i="3"/>
  <c r="B437" i="3"/>
  <c r="E437" i="3" s="1"/>
  <c r="C437" i="3"/>
  <c r="B438" i="3"/>
  <c r="E438" i="3" s="1"/>
  <c r="C438" i="3"/>
  <c r="B439" i="3"/>
  <c r="E439" i="3" s="1"/>
  <c r="C439" i="3"/>
  <c r="B440" i="3"/>
  <c r="E440" i="3" s="1"/>
  <c r="C440" i="3"/>
  <c r="B441" i="3"/>
  <c r="E441" i="3" s="1"/>
  <c r="C441" i="3"/>
  <c r="B442" i="3"/>
  <c r="E442" i="3" s="1"/>
  <c r="C442" i="3"/>
  <c r="B443" i="3"/>
  <c r="E443" i="3" s="1"/>
  <c r="C443" i="3"/>
  <c r="B444" i="3"/>
  <c r="E444" i="3" s="1"/>
  <c r="C444" i="3"/>
  <c r="B445" i="3"/>
  <c r="E445" i="3" s="1"/>
  <c r="C445" i="3"/>
  <c r="B446" i="3"/>
  <c r="E446" i="3" s="1"/>
  <c r="C446" i="3"/>
  <c r="B447" i="3"/>
  <c r="E447" i="3" s="1"/>
  <c r="C447" i="3"/>
  <c r="B448" i="3"/>
  <c r="E448" i="3" s="1"/>
  <c r="C448" i="3"/>
  <c r="B449" i="3"/>
  <c r="E449" i="3" s="1"/>
  <c r="C449" i="3"/>
  <c r="B450" i="3"/>
  <c r="E450" i="3" s="1"/>
  <c r="C450" i="3"/>
  <c r="B451" i="3"/>
  <c r="E451" i="3" s="1"/>
  <c r="C451" i="3"/>
  <c r="B452" i="3"/>
  <c r="E452" i="3" s="1"/>
  <c r="C452" i="3"/>
  <c r="B453" i="3"/>
  <c r="E453" i="3" s="1"/>
  <c r="C453" i="3"/>
  <c r="E87" i="3" l="1"/>
  <c r="G87" i="3" s="1"/>
  <c r="C87" i="5" s="1"/>
  <c r="E86" i="3"/>
  <c r="G86" i="3" s="1"/>
  <c r="C86" i="5" s="1"/>
  <c r="E85" i="3"/>
  <c r="G85" i="3" s="1"/>
  <c r="C85" i="5" s="1"/>
  <c r="E84" i="3"/>
  <c r="G84" i="3" s="1"/>
  <c r="C84" i="5" s="1"/>
  <c r="E83" i="3"/>
  <c r="E81" i="3"/>
  <c r="G81" i="3" s="1"/>
  <c r="C81" i="5" s="1"/>
  <c r="E79" i="3"/>
  <c r="G79" i="3" s="1"/>
  <c r="C79" i="5" s="1"/>
  <c r="E77" i="3"/>
  <c r="G77" i="3" s="1"/>
  <c r="C77" i="5" s="1"/>
  <c r="E75" i="3"/>
  <c r="G75" i="3" s="1"/>
  <c r="C75" i="5" s="1"/>
  <c r="E73" i="3"/>
  <c r="G73" i="3" s="1"/>
  <c r="C73" i="5" s="1"/>
  <c r="G83" i="3"/>
  <c r="C83" i="5" s="1"/>
  <c r="E82" i="3"/>
  <c r="G82" i="3" s="1"/>
  <c r="C82" i="5" s="1"/>
  <c r="E80" i="3"/>
  <c r="G80" i="3" s="1"/>
  <c r="C80" i="5" s="1"/>
  <c r="E78" i="3"/>
  <c r="G78" i="3" s="1"/>
  <c r="C78" i="5" s="1"/>
  <c r="E76" i="3"/>
  <c r="G76" i="3" s="1"/>
  <c r="C76" i="5" s="1"/>
  <c r="E74" i="3"/>
  <c r="G74" i="3" s="1"/>
  <c r="C74" i="5" s="1"/>
  <c r="B8" i="3"/>
  <c r="D454" i="6"/>
  <c r="D453" i="6"/>
  <c r="F453" i="3" s="1"/>
  <c r="D453" i="5" s="1"/>
  <c r="D452" i="6"/>
  <c r="F452" i="3" s="1"/>
  <c r="D452" i="5" s="1"/>
  <c r="D451" i="6"/>
  <c r="F451" i="3" s="1"/>
  <c r="D451" i="5" s="1"/>
  <c r="D450" i="6"/>
  <c r="F450" i="3" s="1"/>
  <c r="D450" i="5" s="1"/>
  <c r="D449" i="6"/>
  <c r="F449" i="3" s="1"/>
  <c r="D449" i="5" s="1"/>
  <c r="D448" i="6"/>
  <c r="F448" i="3" s="1"/>
  <c r="D448" i="5" s="1"/>
  <c r="D447" i="6"/>
  <c r="F447" i="3" s="1"/>
  <c r="D447" i="5" s="1"/>
  <c r="D446" i="6"/>
  <c r="F446" i="3" s="1"/>
  <c r="D446" i="5" s="1"/>
  <c r="D445" i="6"/>
  <c r="F445" i="3" s="1"/>
  <c r="D445" i="5" s="1"/>
  <c r="D444" i="6"/>
  <c r="F444" i="3" s="1"/>
  <c r="D444" i="5" s="1"/>
  <c r="D443" i="6"/>
  <c r="F443" i="3" s="1"/>
  <c r="D443" i="5" s="1"/>
  <c r="D442" i="6"/>
  <c r="F442" i="3" s="1"/>
  <c r="D442" i="5" s="1"/>
  <c r="D441" i="6"/>
  <c r="F441" i="3" s="1"/>
  <c r="D441" i="5" s="1"/>
  <c r="D440" i="6"/>
  <c r="F440" i="3" s="1"/>
  <c r="D440" i="5" s="1"/>
  <c r="D439" i="6"/>
  <c r="F439" i="3" s="1"/>
  <c r="D439" i="5" s="1"/>
  <c r="D438" i="6"/>
  <c r="F438" i="3" s="1"/>
  <c r="D438" i="5" s="1"/>
  <c r="D437" i="6"/>
  <c r="F437" i="3" s="1"/>
  <c r="D437" i="5" s="1"/>
  <c r="D436" i="6"/>
  <c r="F436" i="3" s="1"/>
  <c r="D436" i="5" s="1"/>
  <c r="D435" i="6"/>
  <c r="F435" i="3" s="1"/>
  <c r="D435" i="5" s="1"/>
  <c r="D434" i="6"/>
  <c r="F434" i="3" s="1"/>
  <c r="D434" i="5" s="1"/>
  <c r="D433" i="6"/>
  <c r="F433" i="3" s="1"/>
  <c r="D433" i="5" s="1"/>
  <c r="D432" i="6"/>
  <c r="F432" i="3" s="1"/>
  <c r="D432" i="5" s="1"/>
  <c r="D431" i="6"/>
  <c r="F431" i="3" s="1"/>
  <c r="D431" i="5" s="1"/>
  <c r="D430" i="6"/>
  <c r="F430" i="3" s="1"/>
  <c r="D430" i="5" s="1"/>
  <c r="D429" i="6"/>
  <c r="F429" i="3" s="1"/>
  <c r="D429" i="5" s="1"/>
  <c r="D428" i="6"/>
  <c r="F428" i="3" s="1"/>
  <c r="D428" i="5" s="1"/>
  <c r="D427" i="6"/>
  <c r="F427" i="3" s="1"/>
  <c r="D427" i="5" s="1"/>
  <c r="D426" i="6"/>
  <c r="F426" i="3" s="1"/>
  <c r="D426" i="5" s="1"/>
  <c r="D425" i="6"/>
  <c r="F425" i="3" s="1"/>
  <c r="D425" i="5" s="1"/>
  <c r="D424" i="6"/>
  <c r="F424" i="3" s="1"/>
  <c r="D424" i="5" s="1"/>
  <c r="D423" i="6"/>
  <c r="F423" i="3" s="1"/>
  <c r="D423" i="5" s="1"/>
  <c r="D422" i="6"/>
  <c r="F422" i="3" s="1"/>
  <c r="D422" i="5" s="1"/>
  <c r="D421" i="6"/>
  <c r="F421" i="3" s="1"/>
  <c r="D421" i="5" s="1"/>
  <c r="D420" i="6"/>
  <c r="F420" i="3" s="1"/>
  <c r="D420" i="5" s="1"/>
  <c r="D419" i="6"/>
  <c r="F419" i="3" s="1"/>
  <c r="D419" i="5" s="1"/>
  <c r="D418" i="6"/>
  <c r="F418" i="3" s="1"/>
  <c r="D418" i="5" s="1"/>
  <c r="D417" i="6"/>
  <c r="F417" i="3" s="1"/>
  <c r="D417" i="5" s="1"/>
  <c r="D416" i="6"/>
  <c r="F416" i="3" s="1"/>
  <c r="D416" i="5" s="1"/>
  <c r="D415" i="6"/>
  <c r="F415" i="3" s="1"/>
  <c r="D415" i="5" s="1"/>
  <c r="D414" i="6"/>
  <c r="F414" i="3" s="1"/>
  <c r="D414" i="5" s="1"/>
  <c r="D413" i="6"/>
  <c r="F413" i="3" s="1"/>
  <c r="D413" i="5" s="1"/>
  <c r="D412" i="6"/>
  <c r="F412" i="3" s="1"/>
  <c r="D412" i="5" s="1"/>
  <c r="D411" i="6"/>
  <c r="F411" i="3" s="1"/>
  <c r="D411" i="5" s="1"/>
  <c r="D410" i="6"/>
  <c r="F410" i="3" s="1"/>
  <c r="D410" i="5" s="1"/>
  <c r="D409" i="6"/>
  <c r="F409" i="3" s="1"/>
  <c r="D409" i="5" s="1"/>
  <c r="D408" i="6"/>
  <c r="F408" i="3" s="1"/>
  <c r="D408" i="5" s="1"/>
  <c r="D407" i="6"/>
  <c r="F407" i="3" s="1"/>
  <c r="D407" i="5" s="1"/>
  <c r="D406" i="6"/>
  <c r="F406" i="3" s="1"/>
  <c r="D406" i="5" s="1"/>
  <c r="D405" i="6"/>
  <c r="F405" i="3" s="1"/>
  <c r="D405" i="5" s="1"/>
  <c r="D404" i="6"/>
  <c r="F404" i="3" s="1"/>
  <c r="D404" i="5" s="1"/>
  <c r="D403" i="6"/>
  <c r="F403" i="3" s="1"/>
  <c r="D403" i="5" s="1"/>
  <c r="D402" i="6"/>
  <c r="F402" i="3" s="1"/>
  <c r="D402" i="5" s="1"/>
  <c r="D401" i="6"/>
  <c r="F401" i="3" s="1"/>
  <c r="D401" i="5" s="1"/>
  <c r="D400" i="6"/>
  <c r="F400" i="3" s="1"/>
  <c r="D400" i="5" s="1"/>
  <c r="D399" i="6"/>
  <c r="F399" i="3" s="1"/>
  <c r="D399" i="5" s="1"/>
  <c r="D398" i="6"/>
  <c r="F398" i="3" s="1"/>
  <c r="D398" i="5" s="1"/>
  <c r="D397" i="6"/>
  <c r="F397" i="3" s="1"/>
  <c r="D397" i="5" s="1"/>
  <c r="D396" i="6"/>
  <c r="F396" i="3" s="1"/>
  <c r="D396" i="5" s="1"/>
  <c r="D395" i="6"/>
  <c r="F395" i="3" s="1"/>
  <c r="D395" i="5" s="1"/>
  <c r="D394" i="6"/>
  <c r="F394" i="3" s="1"/>
  <c r="D394" i="5" s="1"/>
  <c r="D393" i="6"/>
  <c r="F393" i="3" s="1"/>
  <c r="D393" i="5" s="1"/>
  <c r="D392" i="6"/>
  <c r="F392" i="3" s="1"/>
  <c r="D392" i="5" s="1"/>
  <c r="D391" i="6"/>
  <c r="F391" i="3" s="1"/>
  <c r="D391" i="5" s="1"/>
  <c r="D390" i="6"/>
  <c r="F390" i="3" s="1"/>
  <c r="D390" i="5" s="1"/>
  <c r="D389" i="6"/>
  <c r="F389" i="3" s="1"/>
  <c r="D389" i="5" s="1"/>
  <c r="D388" i="6"/>
  <c r="F388" i="3" s="1"/>
  <c r="D388" i="5" s="1"/>
  <c r="D387" i="6"/>
  <c r="F387" i="3" s="1"/>
  <c r="D387" i="5" s="1"/>
  <c r="D386" i="6"/>
  <c r="F386" i="3" s="1"/>
  <c r="D386" i="5" s="1"/>
  <c r="D385" i="6"/>
  <c r="F385" i="3" s="1"/>
  <c r="D385" i="5" s="1"/>
  <c r="D384" i="6"/>
  <c r="F384" i="3" s="1"/>
  <c r="D384" i="5" s="1"/>
  <c r="D383" i="6"/>
  <c r="F383" i="3" s="1"/>
  <c r="D383" i="5" s="1"/>
  <c r="D382" i="6"/>
  <c r="F382" i="3" s="1"/>
  <c r="D382" i="5" s="1"/>
  <c r="D381" i="6"/>
  <c r="F381" i="3" s="1"/>
  <c r="D381" i="5" s="1"/>
  <c r="D380" i="6"/>
  <c r="F380" i="3" s="1"/>
  <c r="D380" i="5" s="1"/>
  <c r="D379" i="6"/>
  <c r="F379" i="3" s="1"/>
  <c r="D379" i="5" s="1"/>
  <c r="D378" i="6"/>
  <c r="F378" i="3" s="1"/>
  <c r="D378" i="5" s="1"/>
  <c r="D377" i="6"/>
  <c r="F377" i="3" s="1"/>
  <c r="D377" i="5" s="1"/>
  <c r="D376" i="6"/>
  <c r="F376" i="3" s="1"/>
  <c r="D376" i="5" s="1"/>
  <c r="D375" i="6"/>
  <c r="F375" i="3" s="1"/>
  <c r="D375" i="5" s="1"/>
  <c r="D374" i="6"/>
  <c r="F374" i="3" s="1"/>
  <c r="D374" i="5" s="1"/>
  <c r="D373" i="6"/>
  <c r="F373" i="3" s="1"/>
  <c r="D373" i="5" s="1"/>
  <c r="D372" i="6"/>
  <c r="F372" i="3" s="1"/>
  <c r="D372" i="5" s="1"/>
  <c r="D371" i="6"/>
  <c r="F371" i="3" s="1"/>
  <c r="D371" i="5" s="1"/>
  <c r="D370" i="6"/>
  <c r="F370" i="3" s="1"/>
  <c r="D370" i="5" s="1"/>
  <c r="D369" i="6"/>
  <c r="F369" i="3" s="1"/>
  <c r="D369" i="5" s="1"/>
  <c r="D368" i="6"/>
  <c r="F368" i="3" s="1"/>
  <c r="D368" i="5" s="1"/>
  <c r="D367" i="6"/>
  <c r="F367" i="3" s="1"/>
  <c r="D367" i="5" s="1"/>
  <c r="D366" i="6"/>
  <c r="F366" i="3" s="1"/>
  <c r="D366" i="5" s="1"/>
  <c r="D365" i="6"/>
  <c r="F365" i="3" s="1"/>
  <c r="D365" i="5" s="1"/>
  <c r="D364" i="6"/>
  <c r="F364" i="3" s="1"/>
  <c r="D364" i="5" s="1"/>
  <c r="D363" i="6"/>
  <c r="F363" i="3" s="1"/>
  <c r="D363" i="5" s="1"/>
  <c r="D362" i="6"/>
  <c r="F362" i="3" s="1"/>
  <c r="D362" i="5" s="1"/>
  <c r="D361" i="6"/>
  <c r="F361" i="3" s="1"/>
  <c r="D361" i="5" s="1"/>
  <c r="D360" i="6"/>
  <c r="F360" i="3" s="1"/>
  <c r="D360" i="5" s="1"/>
  <c r="D359" i="6"/>
  <c r="F359" i="3" s="1"/>
  <c r="D359" i="5" s="1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2" i="6"/>
  <c r="B11" i="6"/>
  <c r="B10" i="6"/>
  <c r="B9" i="6"/>
  <c r="B8" i="6"/>
  <c r="I17" i="5" l="1"/>
  <c r="I14" i="5"/>
  <c r="I20" i="5" l="1"/>
  <c r="I11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C8" i="3"/>
  <c r="E457" i="3" l="1"/>
  <c r="E456" i="3"/>
  <c r="E455" i="3"/>
  <c r="F454" i="3"/>
  <c r="D454" i="5" s="1"/>
  <c r="E454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E66" i="3" l="1"/>
  <c r="G66" i="3" s="1"/>
  <c r="C66" i="5" s="1"/>
  <c r="E68" i="3"/>
  <c r="G68" i="3" s="1"/>
  <c r="C68" i="5" s="1"/>
  <c r="E70" i="3"/>
  <c r="G70" i="3" s="1"/>
  <c r="C70" i="5" s="1"/>
  <c r="E72" i="3"/>
  <c r="G72" i="3" s="1"/>
  <c r="C72" i="5" s="1"/>
  <c r="E9" i="3"/>
  <c r="G9" i="3" s="1"/>
  <c r="C9" i="5" s="1"/>
  <c r="E13" i="3"/>
  <c r="G13" i="3" s="1"/>
  <c r="C13" i="5" s="1"/>
  <c r="E15" i="3"/>
  <c r="G15" i="3" s="1"/>
  <c r="C15" i="5" s="1"/>
  <c r="E17" i="3"/>
  <c r="G17" i="3" s="1"/>
  <c r="C17" i="5" s="1"/>
  <c r="E19" i="3"/>
  <c r="G19" i="3" s="1"/>
  <c r="C19" i="5" s="1"/>
  <c r="E21" i="3"/>
  <c r="G21" i="3" s="1"/>
  <c r="C21" i="5" s="1"/>
  <c r="E23" i="3"/>
  <c r="G23" i="3" s="1"/>
  <c r="C23" i="5" s="1"/>
  <c r="E25" i="3"/>
  <c r="G25" i="3" s="1"/>
  <c r="C25" i="5" s="1"/>
  <c r="E27" i="3"/>
  <c r="G27" i="3" s="1"/>
  <c r="C27" i="5" s="1"/>
  <c r="E33" i="3"/>
  <c r="G33" i="3" s="1"/>
  <c r="C33" i="5" s="1"/>
  <c r="E35" i="3"/>
  <c r="G35" i="3" s="1"/>
  <c r="C35" i="5" s="1"/>
  <c r="E37" i="3"/>
  <c r="G37" i="3" s="1"/>
  <c r="C37" i="5" s="1"/>
  <c r="E39" i="3"/>
  <c r="G39" i="3" s="1"/>
  <c r="C39" i="5" s="1"/>
  <c r="E41" i="3"/>
  <c r="G41" i="3" s="1"/>
  <c r="C41" i="5" s="1"/>
  <c r="E43" i="3"/>
  <c r="G43" i="3" s="1"/>
  <c r="C43" i="5" s="1"/>
  <c r="E45" i="3"/>
  <c r="G45" i="3" s="1"/>
  <c r="C45" i="5" s="1"/>
  <c r="E47" i="3"/>
  <c r="G47" i="3" s="1"/>
  <c r="C47" i="5" s="1"/>
  <c r="E49" i="3"/>
  <c r="G49" i="3" s="1"/>
  <c r="C49" i="5" s="1"/>
  <c r="E53" i="3"/>
  <c r="G53" i="3" s="1"/>
  <c r="C53" i="5" s="1"/>
  <c r="E55" i="3"/>
  <c r="G55" i="3" s="1"/>
  <c r="C55" i="5" s="1"/>
  <c r="E20" i="3"/>
  <c r="G20" i="3" s="1"/>
  <c r="C20" i="5" s="1"/>
  <c r="E22" i="3"/>
  <c r="G22" i="3" s="1"/>
  <c r="C22" i="5" s="1"/>
  <c r="E24" i="3"/>
  <c r="G24" i="3" s="1"/>
  <c r="C24" i="5" s="1"/>
  <c r="E26" i="3"/>
  <c r="G26" i="3" s="1"/>
  <c r="C26" i="5" s="1"/>
  <c r="E57" i="3"/>
  <c r="G57" i="3" s="1"/>
  <c r="C57" i="5" s="1"/>
  <c r="E59" i="3"/>
  <c r="G59" i="3" s="1"/>
  <c r="C59" i="5" s="1"/>
  <c r="E61" i="3"/>
  <c r="G61" i="3" s="1"/>
  <c r="C61" i="5" s="1"/>
  <c r="E63" i="3"/>
  <c r="G63" i="3" s="1"/>
  <c r="C63" i="5" s="1"/>
  <c r="E65" i="3"/>
  <c r="G65" i="3" s="1"/>
  <c r="C65" i="5" s="1"/>
  <c r="E67" i="3"/>
  <c r="G67" i="3" s="1"/>
  <c r="C67" i="5" s="1"/>
  <c r="E69" i="3"/>
  <c r="G69" i="3" s="1"/>
  <c r="C69" i="5" s="1"/>
  <c r="E28" i="3"/>
  <c r="G28" i="3" s="1"/>
  <c r="C28" i="5" s="1"/>
  <c r="E30" i="3"/>
  <c r="G30" i="3" s="1"/>
  <c r="C30" i="5" s="1"/>
  <c r="E32" i="3"/>
  <c r="G32" i="3" s="1"/>
  <c r="C32" i="5" s="1"/>
  <c r="E34" i="3"/>
  <c r="G34" i="3" s="1"/>
  <c r="C34" i="5" s="1"/>
  <c r="E44" i="3"/>
  <c r="G44" i="3" s="1"/>
  <c r="C44" i="5" s="1"/>
  <c r="E46" i="3"/>
  <c r="G46" i="3" s="1"/>
  <c r="C46" i="5" s="1"/>
  <c r="E48" i="3"/>
  <c r="G48" i="3" s="1"/>
  <c r="C48" i="5" s="1"/>
  <c r="E50" i="3"/>
  <c r="G50" i="3" s="1"/>
  <c r="C50" i="5" s="1"/>
  <c r="E52" i="3"/>
  <c r="G52" i="3" s="1"/>
  <c r="C52" i="5" s="1"/>
  <c r="E54" i="3"/>
  <c r="G54" i="3" s="1"/>
  <c r="C54" i="5" s="1"/>
  <c r="E56" i="3"/>
  <c r="G56" i="3" s="1"/>
  <c r="C56" i="5" s="1"/>
  <c r="E64" i="3"/>
  <c r="G64" i="3" s="1"/>
  <c r="C64" i="5" s="1"/>
  <c r="E71" i="3"/>
  <c r="G71" i="3" s="1"/>
  <c r="C71" i="5" s="1"/>
  <c r="E10" i="3"/>
  <c r="E12" i="3"/>
  <c r="G12" i="3" s="1"/>
  <c r="C12" i="5" s="1"/>
  <c r="E14" i="3"/>
  <c r="G14" i="3" s="1"/>
  <c r="C14" i="5" s="1"/>
  <c r="E16" i="3"/>
  <c r="G16" i="3" s="1"/>
  <c r="C16" i="5" s="1"/>
  <c r="E18" i="3"/>
  <c r="G18" i="3" s="1"/>
  <c r="C18" i="5" s="1"/>
  <c r="E29" i="3"/>
  <c r="G29" i="3" s="1"/>
  <c r="C29" i="5" s="1"/>
  <c r="E31" i="3"/>
  <c r="G31" i="3" s="1"/>
  <c r="C31" i="5" s="1"/>
  <c r="E36" i="3"/>
  <c r="G36" i="3" s="1"/>
  <c r="C36" i="5" s="1"/>
  <c r="E38" i="3"/>
  <c r="G38" i="3" s="1"/>
  <c r="C38" i="5" s="1"/>
  <c r="E40" i="3"/>
  <c r="G40" i="3" s="1"/>
  <c r="C40" i="5" s="1"/>
  <c r="E42" i="3"/>
  <c r="G42" i="3" s="1"/>
  <c r="C42" i="5" s="1"/>
  <c r="E51" i="3"/>
  <c r="G51" i="3" s="1"/>
  <c r="C51" i="5" s="1"/>
  <c r="E58" i="3"/>
  <c r="G58" i="3" s="1"/>
  <c r="C58" i="5" s="1"/>
  <c r="E60" i="3"/>
  <c r="G60" i="3" s="1"/>
  <c r="C60" i="5" s="1"/>
  <c r="E62" i="3"/>
  <c r="G62" i="3" s="1"/>
  <c r="C62" i="5" s="1"/>
  <c r="E8" i="3"/>
  <c r="G8" i="3" s="1"/>
  <c r="C8" i="5" s="1"/>
  <c r="E11" i="3"/>
  <c r="G11" i="3" s="1"/>
  <c r="C11" i="5" s="1"/>
  <c r="I16" i="5" l="1"/>
  <c r="G10" i="3"/>
  <c r="C10" i="5" s="1"/>
  <c r="I10" i="5" s="1"/>
  <c r="I19" i="5"/>
  <c r="I13" i="5"/>
</calcChain>
</file>

<file path=xl/sharedStrings.xml><?xml version="1.0" encoding="utf-8"?>
<sst xmlns="http://schemas.openxmlformats.org/spreadsheetml/2006/main" count="328" uniqueCount="192">
  <si>
    <t>Ref</t>
  </si>
  <si>
    <t>Date</t>
  </si>
  <si>
    <t>Entrée</t>
  </si>
  <si>
    <t>Entrées</t>
  </si>
  <si>
    <t>Stock initial</t>
  </si>
  <si>
    <t>Article</t>
  </si>
  <si>
    <t>ETAT DES STOCKS</t>
  </si>
  <si>
    <t>ENTREE/SORTIE</t>
  </si>
  <si>
    <t xml:space="preserve">REFERENCEMENT </t>
  </si>
  <si>
    <t>OUTILS D'ANALYSE</t>
  </si>
  <si>
    <t>Stock final</t>
  </si>
  <si>
    <t>Conso</t>
  </si>
  <si>
    <t>Cout conso</t>
  </si>
  <si>
    <t>Valeur stock</t>
  </si>
  <si>
    <t>TOTAL PDJ</t>
  </si>
  <si>
    <t>INVENTAIRE</t>
  </si>
  <si>
    <t>TOTAL LIQUIDE</t>
  </si>
  <si>
    <t>Type</t>
  </si>
  <si>
    <t>stock prog ini</t>
  </si>
  <si>
    <t>stock prog final</t>
  </si>
  <si>
    <t>TOTAL Entretien</t>
  </si>
  <si>
    <t>TOTAL Pdt accueil</t>
  </si>
  <si>
    <t>adminadmin</t>
  </si>
  <si>
    <t>PDJ</t>
  </si>
  <si>
    <t>Liquide</t>
  </si>
  <si>
    <t>Unité</t>
  </si>
  <si>
    <t>Type référence</t>
  </si>
  <si>
    <t>Entretien</t>
  </si>
  <si>
    <t>PDT Accueil</t>
  </si>
  <si>
    <t>arcadie</t>
  </si>
  <si>
    <t>Coût conso</t>
  </si>
  <si>
    <t>Petit-déjeuner</t>
  </si>
  <si>
    <t>Produit d'accueil</t>
  </si>
  <si>
    <t>Cout Conso</t>
  </si>
  <si>
    <t>Val stock</t>
  </si>
  <si>
    <t>Unité fournisseur</t>
  </si>
  <si>
    <t>Prix fournisseur</t>
  </si>
  <si>
    <t>Prix inventaire</t>
  </si>
  <si>
    <t>diviseur</t>
  </si>
  <si>
    <t>Comment compter pour réaliser un bon inventaire ?</t>
  </si>
  <si>
    <t xml:space="preserve">blanc de poulet </t>
  </si>
  <si>
    <t>expresso graindor</t>
  </si>
  <si>
    <t xml:space="preserve">pruneaux agen </t>
  </si>
  <si>
    <t xml:space="preserve">jambon cuit torchon sup </t>
  </si>
  <si>
    <t>saucisses fumées</t>
  </si>
  <si>
    <t>nescafé sélection</t>
  </si>
  <si>
    <t>nescafé sélection DK</t>
  </si>
  <si>
    <t>eau de source 1,5l cristaline</t>
  </si>
  <si>
    <t>eau de source 50cl cristaline</t>
  </si>
  <si>
    <t>biere 25cl heineken</t>
  </si>
  <si>
    <t>biere cannette 33cl heineken</t>
  </si>
  <si>
    <t>Tropicana pur premium pomme</t>
  </si>
  <si>
    <t>tropicana pur premium orange</t>
  </si>
  <si>
    <t xml:space="preserve">40g = 6 tranches </t>
  </si>
  <si>
    <t>50gx10 T</t>
  </si>
  <si>
    <t>300 doses</t>
  </si>
  <si>
    <t>bouteille</t>
  </si>
  <si>
    <t>pack x12</t>
  </si>
  <si>
    <t>canette</t>
  </si>
  <si>
    <t>10l</t>
  </si>
  <si>
    <t>1 unité(s) comptée(s) corresponde(nt) à "40g = 6 tranches "</t>
  </si>
  <si>
    <t>1 unité(s) comptée(s) corresponde(nt) à "50gx10 T"</t>
  </si>
  <si>
    <t>1 unité(s) comptée(s) corresponde(nt) à "10l"</t>
  </si>
  <si>
    <t>1 unité(s) comptée(s) corresponde(nt) à bouteille</t>
  </si>
  <si>
    <t>1 unité(s) comptée(s) corresponde(nt) à pack x12</t>
  </si>
  <si>
    <t>1 unité(s) comptée(s) corresponde(nt) à canette</t>
  </si>
  <si>
    <t>1 unité(s) comptée(s) corresponde(nt) à 300 doses</t>
  </si>
  <si>
    <t>Inventaire mensuel</t>
  </si>
  <si>
    <t>capsules x40</t>
  </si>
  <si>
    <t>barquette</t>
  </si>
  <si>
    <t>30g x8</t>
  </si>
  <si>
    <t>camembert</t>
  </si>
  <si>
    <t>125g x 4</t>
  </si>
  <si>
    <t>activia nature</t>
  </si>
  <si>
    <t>125gx 8</t>
  </si>
  <si>
    <t>activia fruits panaché</t>
  </si>
  <si>
    <t>1,5l</t>
  </si>
  <si>
    <t>vinaigre blanc</t>
  </si>
  <si>
    <t>25gx20</t>
  </si>
  <si>
    <t>kg</t>
  </si>
  <si>
    <t>œufs brouillés</t>
  </si>
  <si>
    <t>250 sticks</t>
  </si>
  <si>
    <t>canderel stick 05,g x250</t>
  </si>
  <si>
    <t>carton x36</t>
  </si>
  <si>
    <t>café filtre Baccara  x36 Miko</t>
  </si>
  <si>
    <t>paquet</t>
  </si>
  <si>
    <t>pain sandu nature 14t x550g</t>
  </si>
  <si>
    <t>500g</t>
  </si>
  <si>
    <t>dattes</t>
  </si>
  <si>
    <t>figues moelleuses Prunille</t>
  </si>
  <si>
    <t>abricots moelleux prunille</t>
  </si>
  <si>
    <t>paquet 250</t>
  </si>
  <si>
    <t>dentelles rect blancs 30x40</t>
  </si>
  <si>
    <t>barquette x24 T</t>
  </si>
  <si>
    <t>comté AOP 30gx24 T</t>
  </si>
  <si>
    <t>cantal jeune AOP 30g x24 T</t>
  </si>
  <si>
    <t>brique x1 L</t>
  </si>
  <si>
    <t>lait 1/2 écrémé UHT 1l</t>
  </si>
  <si>
    <t>poche 1kg</t>
  </si>
  <si>
    <t>poudre choco 1 kg Van Houten</t>
  </si>
  <si>
    <t>boite x25</t>
  </si>
  <si>
    <t>thé noir caramel  Baronny's</t>
  </si>
  <si>
    <t>the noir Earl Grey  Baronny's</t>
  </si>
  <si>
    <t>pot 400g</t>
  </si>
  <si>
    <t>Nutella 400g</t>
  </si>
  <si>
    <t xml:space="preserve">paquet x200 </t>
  </si>
  <si>
    <t>serv, ouate 2F 30x40x200</t>
  </si>
  <si>
    <t>pain mie complet 600 g</t>
  </si>
  <si>
    <t>jambon de dinde 40g x10t</t>
  </si>
  <si>
    <t>Barquette</t>
  </si>
  <si>
    <t>fourme d'ambert AOP 24 T</t>
  </si>
  <si>
    <t>paquet x12</t>
  </si>
  <si>
    <t>pap, hyg, strong x12 écolucart</t>
  </si>
  <si>
    <t>boite 0,45 x300</t>
  </si>
  <si>
    <t>film alim 300 m</t>
  </si>
  <si>
    <t xml:space="preserve">carton  </t>
  </si>
  <si>
    <t>gobelet sachet ind x250</t>
  </si>
  <si>
    <t>boite 1,4 kg</t>
  </si>
  <si>
    <t>mini bobbons fruit acid 1,4 kg</t>
  </si>
  <si>
    <t>paquet 800g pur beurre</t>
  </si>
  <si>
    <t>quatre-quarts</t>
  </si>
  <si>
    <t>pack  x20clx8</t>
  </si>
  <si>
    <t>coca cola 20cl x8</t>
  </si>
  <si>
    <t>coca cola 33 cl canette</t>
  </si>
  <si>
    <t>pack</t>
  </si>
  <si>
    <t>evian 50cl x6</t>
  </si>
  <si>
    <t>boite x100</t>
  </si>
  <si>
    <t>gants jetables latex x100</t>
  </si>
  <si>
    <t>lot x4</t>
  </si>
  <si>
    <t>yaourts panier fruits yoplait x4</t>
  </si>
  <si>
    <t>lot x24</t>
  </si>
  <si>
    <t>cristaline 50 cl x 24 TG</t>
  </si>
  <si>
    <t>sac 1kg</t>
  </si>
  <si>
    <t>raisin sec sultanine standard 1kg</t>
  </si>
  <si>
    <t>barquette 500g</t>
  </si>
  <si>
    <t>œuf brouillé nature 500g*8 TG</t>
  </si>
  <si>
    <t>unité 125g</t>
  </si>
  <si>
    <t>activia nature 0% 125g x8 TG</t>
  </si>
  <si>
    <t>colis 30g x 160</t>
  </si>
  <si>
    <t>mini pain raisin 30g x 160</t>
  </si>
  <si>
    <t>colis 35g x 210</t>
  </si>
  <si>
    <t>mini pain choco 35g x 210</t>
  </si>
  <si>
    <t>mini croissant beurre 30g x 195</t>
  </si>
  <si>
    <t>colis 30g x 100</t>
  </si>
  <si>
    <t xml:space="preserve">mini torsade cranberrie 30gx100 </t>
  </si>
  <si>
    <t>sachet 50g</t>
  </si>
  <si>
    <t>jambon dd torchon *10 x 50g</t>
  </si>
  <si>
    <t>paquet 400g</t>
  </si>
  <si>
    <t>blanc poulet *10 x 40g</t>
  </si>
  <si>
    <t>lot de 6</t>
  </si>
  <si>
    <t>destructeur d'odeurs 750ml x 6</t>
  </si>
  <si>
    <t>green care pre-détachant 750 ml</t>
  </si>
  <si>
    <t>137/2</t>
  </si>
  <si>
    <t>lot de 21 boites</t>
  </si>
  <si>
    <t>mouchoir 21 boites de 100</t>
  </si>
  <si>
    <t>5739/1</t>
  </si>
  <si>
    <t xml:space="preserve">unité    </t>
  </si>
  <si>
    <t>gant mapa jersetlite parme</t>
  </si>
  <si>
    <t>2043S</t>
  </si>
  <si>
    <t>lot</t>
  </si>
  <si>
    <t>papier toilette 500cp x 56 rlx</t>
  </si>
  <si>
    <t>532/1</t>
  </si>
  <si>
    <t>1 bouteille</t>
  </si>
  <si>
    <t>vinaigre blanc 1l BARTHOLUS</t>
  </si>
  <si>
    <t>désodorisant toilettes 750ml x6</t>
  </si>
  <si>
    <t>5l</t>
  </si>
  <si>
    <t>green-line rincage 5l</t>
  </si>
  <si>
    <t>lot de 12</t>
  </si>
  <si>
    <t>Nov détartrant Gel Wc 1l x 12</t>
  </si>
  <si>
    <t>lot de 3</t>
  </si>
  <si>
    <t>eponge gommante x 3</t>
  </si>
  <si>
    <t>lot de 10</t>
  </si>
  <si>
    <t>lavettes microfibre x 10</t>
  </si>
  <si>
    <t>2100B</t>
  </si>
  <si>
    <t>boite de 150</t>
  </si>
  <si>
    <t>comprimés chlorés x 150</t>
  </si>
  <si>
    <t>sac de 20kg</t>
  </si>
  <si>
    <t>Activ intense 20kg</t>
  </si>
  <si>
    <t>sac de 25kg</t>
  </si>
  <si>
    <t>sel adoucisseur en pastille 25kg</t>
  </si>
  <si>
    <t>tampon éponge rose x 10</t>
  </si>
  <si>
    <t>lot de 1000</t>
  </si>
  <si>
    <t>sac poubelle 20l x 1000</t>
  </si>
  <si>
    <t>lot de 200</t>
  </si>
  <si>
    <t>sac poubelle 110l x 200</t>
  </si>
  <si>
    <t>lot de 66</t>
  </si>
  <si>
    <t>sac poubelle 10l x 66</t>
  </si>
  <si>
    <t>manquante</t>
  </si>
  <si>
    <t>alcool ménager citron 1l x 12</t>
  </si>
  <si>
    <t>2743C</t>
  </si>
  <si>
    <t>unité</t>
  </si>
  <si>
    <t>glass cleaner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</si>
</sst>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\(&quot;€&quot;#,##0.00\)"/>
    <numFmt numFmtId="165" formatCode="&quot;€&quot;#,##0.00_);[Red]\(&quot;€&quot;#,##0.00\)"/>
    <numFmt numFmtId="166" formatCode="_-* #,##0.00,[$€]_-;\-* #,##0.00,[$€]_-;_-* &quot;-&quot;??,[$€]_-;_-@_-"/>
    <numFmt numFmtId="167" formatCode="#,##0.00\ &quot;€&quot;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4" fillId="0" borderId="0"/>
    <xf numFmtId="166" fontId="4" fillId="0" borderId="0" applyFont="0" applyFill="0" applyBorder="0" applyAlignment="0" applyProtection="0"/>
    <xf numFmtId="0" fontId="8" fillId="0" borderId="0"/>
  </cellStyleXfs>
  <cellXfs count="48">
    <xf numFmtId="0" fontId="0" fillId="0" borderId="0" xfId="0"/>
    <xf numFmtId="0" fontId="0" fillId="2" borderId="0" xfId="0" applyFill="1" applyBorder="1"/>
    <xf numFmtId="0" fontId="0" fillId="2" borderId="2" xfId="0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0" xfId="0" applyBorder="1"/>
    <xf numFmtId="0" fontId="3" fillId="4" borderId="2" xfId="0" applyFont="1" applyFill="1" applyBorder="1"/>
    <xf numFmtId="14" fontId="0" fillId="0" borderId="2" xfId="0" applyNumberFormat="1" applyFill="1" applyBorder="1"/>
    <xf numFmtId="165" fontId="0" fillId="0" borderId="2" xfId="0" applyNumberFormat="1" applyBorder="1"/>
    <xf numFmtId="0" fontId="0" fillId="0" borderId="2" xfId="0" applyFill="1" applyBorder="1"/>
    <xf numFmtId="0" fontId="0" fillId="5" borderId="11" xfId="0" applyFill="1" applyBorder="1"/>
    <xf numFmtId="0" fontId="0" fillId="5" borderId="12" xfId="0" applyFill="1" applyBorder="1"/>
    <xf numFmtId="165" fontId="0" fillId="6" borderId="12" xfId="0" applyNumberFormat="1" applyFill="1" applyBorder="1"/>
    <xf numFmtId="0" fontId="0" fillId="0" borderId="1" xfId="0" applyFill="1" applyBorder="1"/>
    <xf numFmtId="0" fontId="0" fillId="2" borderId="13" xfId="0" applyFill="1" applyBorder="1"/>
    <xf numFmtId="0" fontId="3" fillId="2" borderId="13" xfId="0" applyFont="1" applyFill="1" applyBorder="1"/>
    <xf numFmtId="0" fontId="3" fillId="4" borderId="3" xfId="0" applyFont="1" applyFill="1" applyBorder="1"/>
    <xf numFmtId="0" fontId="3" fillId="4" borderId="14" xfId="0" applyFont="1" applyFill="1" applyBorder="1"/>
    <xf numFmtId="14" fontId="0" fillId="0" borderId="10" xfId="0" applyNumberFormat="1" applyFill="1" applyBorder="1"/>
    <xf numFmtId="0" fontId="0" fillId="0" borderId="10" xfId="0" applyFill="1" applyBorder="1"/>
    <xf numFmtId="0" fontId="0" fillId="0" borderId="15" xfId="0" applyFill="1" applyBorder="1"/>
    <xf numFmtId="0" fontId="3" fillId="4" borderId="16" xfId="0" applyFont="1" applyFill="1" applyBorder="1"/>
    <xf numFmtId="0" fontId="5" fillId="0" borderId="0" xfId="0" applyFont="1"/>
    <xf numFmtId="167" fontId="0" fillId="0" borderId="0" xfId="0" applyNumberFormat="1"/>
    <xf numFmtId="167" fontId="3" fillId="4" borderId="3" xfId="0" applyNumberFormat="1" applyFont="1" applyFill="1" applyBorder="1"/>
    <xf numFmtId="167" fontId="0" fillId="0" borderId="2" xfId="0" applyNumberFormat="1" applyBorder="1"/>
    <xf numFmtId="165" fontId="0" fillId="0" borderId="1" xfId="0" applyNumberFormat="1" applyBorder="1"/>
    <xf numFmtId="164" fontId="0" fillId="0" borderId="0" xfId="0" applyNumberFormat="1"/>
    <xf numFmtId="164" fontId="0" fillId="0" borderId="2" xfId="0" applyNumberFormat="1" applyBorder="1"/>
    <xf numFmtId="164" fontId="0" fillId="0" borderId="0" xfId="0" applyNumberFormat="1"/>
    <xf numFmtId="0" fontId="3" fillId="4" borderId="17" xfId="0" applyFont="1" applyFill="1" applyBorder="1"/>
    <xf numFmtId="0" fontId="8" fillId="0" borderId="2" xfId="3" applyBorder="1" applyAlignment="1">
      <alignment horizontal="right"/>
    </xf>
    <xf numFmtId="0" fontId="8" fillId="0" borderId="2" xfId="3" applyFill="1" applyBorder="1"/>
    <xf numFmtId="0" fontId="8" fillId="0" borderId="2" xfId="3" applyBorder="1"/>
    <xf numFmtId="164" fontId="0" fillId="0" borderId="2" xfId="0" applyNumberFormat="1" applyBorder="1"/>
    <xf numFmtId="164" fontId="0" fillId="0" borderId="2" xfId="0" applyNumberFormat="1" applyBorder="1"/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</cellXfs>
  <cellStyles count="4">
    <cellStyle name="Euro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31000000}"/>
  </cellStyles>
  <dxfs count="0"/>
  <tableStyles count="0" defaultTableStyle="TableStyleMedium2" defaultPivotStyle="PivotStyleLight16"/>
  <colors>
    <mruColors>
      <color rgb="FF00B4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Etat des stocks'!A1"/><Relationship Id="rId2" Type="http://schemas.openxmlformats.org/officeDocument/2006/relationships/hyperlink" Target="#'Base de donn&#233;e articles'!A1"/><Relationship Id="rId1" Type="http://schemas.openxmlformats.org/officeDocument/2006/relationships/image" Target="../media/image2.jpeg"/><Relationship Id="rId5" Type="http://schemas.openxmlformats.org/officeDocument/2006/relationships/hyperlink" Target="#'Outils d''analyse'!A1"/><Relationship Id="rId4" Type="http://schemas.openxmlformats.org/officeDocument/2006/relationships/hyperlink" Target="#Inventaire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Base de donn&#233;e articles'!A1"/><Relationship Id="rId2" Type="http://schemas.openxmlformats.org/officeDocument/2006/relationships/hyperlink" Target="#'Journal entr&#233;es et sorties'!A1"/><Relationship Id="rId1" Type="http://schemas.openxmlformats.org/officeDocument/2006/relationships/image" Target="../media/image3.jpeg"/><Relationship Id="rId4" Type="http://schemas.openxmlformats.org/officeDocument/2006/relationships/hyperlink" Target="#Inventair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771525</xdr:colOff>
      <xdr:row>3</xdr:row>
      <xdr:rowOff>180975</xdr:rowOff>
    </xdr:to>
    <xdr:pic macro="[0]!Image1_Cliquer"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771525</xdr:colOff>
      <xdr:row>3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7</xdr:col>
      <xdr:colOff>57150</xdr:colOff>
      <xdr:row>11</xdr:row>
      <xdr:rowOff>47625</xdr:rowOff>
    </xdr:from>
    <xdr:to>
      <xdr:col>9</xdr:col>
      <xdr:colOff>352425</xdr:colOff>
      <xdr:row>14</xdr:row>
      <xdr:rowOff>76200</xdr:rowOff>
    </xdr:to>
    <xdr:sp macro="" textlink="">
      <xdr:nvSpPr>
        <xdr:cNvPr id="3" name="ZoneText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972175" y="21621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Ajouter Référencement 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7</xdr:col>
      <xdr:colOff>47625</xdr:colOff>
      <xdr:row>9</xdr:row>
      <xdr:rowOff>66675</xdr:rowOff>
    </xdr:from>
    <xdr:to>
      <xdr:col>8</xdr:col>
      <xdr:colOff>571500</xdr:colOff>
      <xdr:row>11</xdr:row>
      <xdr:rowOff>38100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962650" y="1800225"/>
          <a:ext cx="128587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Navigation :</a:t>
          </a:r>
          <a:endParaRPr lang="fr-FR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7</xdr:col>
      <xdr:colOff>57150</xdr:colOff>
      <xdr:row>14</xdr:row>
      <xdr:rowOff>76200</xdr:rowOff>
    </xdr:from>
    <xdr:to>
      <xdr:col>9</xdr:col>
      <xdr:colOff>352425</xdr:colOff>
      <xdr:row>17</xdr:row>
      <xdr:rowOff>104775</xdr:rowOff>
    </xdr:to>
    <xdr:sp macro="" textlink="">
      <xdr:nvSpPr>
        <xdr:cNvPr id="5" name="ZoneText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5972175" y="27717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Etat des Stocks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7</xdr:col>
      <xdr:colOff>57150</xdr:colOff>
      <xdr:row>17</xdr:row>
      <xdr:rowOff>114300</xdr:rowOff>
    </xdr:from>
    <xdr:to>
      <xdr:col>9</xdr:col>
      <xdr:colOff>352425</xdr:colOff>
      <xdr:row>20</xdr:row>
      <xdr:rowOff>133350</xdr:rowOff>
    </xdr:to>
    <xdr:sp macro="" textlink="">
      <xdr:nvSpPr>
        <xdr:cNvPr id="6" name="ZoneText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5972175" y="3390900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Inventaire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7</xdr:col>
      <xdr:colOff>38100</xdr:colOff>
      <xdr:row>21</xdr:row>
      <xdr:rowOff>114300</xdr:rowOff>
    </xdr:from>
    <xdr:to>
      <xdr:col>9</xdr:col>
      <xdr:colOff>333375</xdr:colOff>
      <xdr:row>24</xdr:row>
      <xdr:rowOff>152400</xdr:rowOff>
    </xdr:to>
    <xdr:sp macro="" textlink="">
      <xdr:nvSpPr>
        <xdr:cNvPr id="7" name="ZoneText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953125" y="4171950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</a:t>
          </a:r>
          <a:r>
            <a:rPr lang="fr-FR" sz="1100" b="1" baseline="0">
              <a:solidFill>
                <a:srgbClr val="C00000"/>
              </a:solidFill>
            </a:rPr>
            <a:t>Outils d'analyse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0</xdr:col>
      <xdr:colOff>771525</xdr:colOff>
      <xdr:row>4</xdr:row>
      <xdr:rowOff>9525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771525</xdr:colOff>
      <xdr:row>3</xdr:row>
      <xdr:rowOff>180975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9525</xdr:colOff>
      <xdr:row>3</xdr:row>
      <xdr:rowOff>180975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38100</xdr:rowOff>
    </xdr:from>
    <xdr:to>
      <xdr:col>0</xdr:col>
      <xdr:colOff>809626</xdr:colOff>
      <xdr:row>4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38100"/>
          <a:ext cx="771525" cy="77152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10</xdr:col>
      <xdr:colOff>609600</xdr:colOff>
      <xdr:row>3</xdr:row>
      <xdr:rowOff>57150</xdr:rowOff>
    </xdr:from>
    <xdr:to>
      <xdr:col>13</xdr:col>
      <xdr:colOff>142875</xdr:colOff>
      <xdr:row>6</xdr:row>
      <xdr:rowOff>85725</xdr:rowOff>
    </xdr:to>
    <xdr:sp macro="" textlink="">
      <xdr:nvSpPr>
        <xdr:cNvPr id="3" name="ZoneText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534650" y="6381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Ajouter Entrées/Sorties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10</xdr:col>
      <xdr:colOff>600075</xdr:colOff>
      <xdr:row>1</xdr:row>
      <xdr:rowOff>85725</xdr:rowOff>
    </xdr:from>
    <xdr:to>
      <xdr:col>12</xdr:col>
      <xdr:colOff>361950</xdr:colOff>
      <xdr:row>3</xdr:row>
      <xdr:rowOff>47625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10525125" y="276225"/>
          <a:ext cx="1285875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Navigation</a:t>
          </a:r>
          <a:r>
            <a:rPr lang="fr-FR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:</a:t>
          </a:r>
          <a:endParaRPr lang="fr-FR">
            <a:effectLst/>
          </a:endParaRPr>
        </a:p>
        <a:p>
          <a:endParaRPr lang="fr-FR" sz="1100"/>
        </a:p>
      </xdr:txBody>
    </xdr:sp>
    <xdr:clientData/>
  </xdr:twoCellAnchor>
  <xdr:twoCellAnchor>
    <xdr:from>
      <xdr:col>10</xdr:col>
      <xdr:colOff>609600</xdr:colOff>
      <xdr:row>6</xdr:row>
      <xdr:rowOff>85725</xdr:rowOff>
    </xdr:from>
    <xdr:to>
      <xdr:col>13</xdr:col>
      <xdr:colOff>142875</xdr:colOff>
      <xdr:row>9</xdr:row>
      <xdr:rowOff>114300</xdr:rowOff>
    </xdr:to>
    <xdr:sp macro="" textlink="">
      <xdr:nvSpPr>
        <xdr:cNvPr id="5" name="ZoneText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534650" y="12477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Ajouter Referencement 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  <xdr:twoCellAnchor>
    <xdr:from>
      <xdr:col>10</xdr:col>
      <xdr:colOff>619125</xdr:colOff>
      <xdr:row>9</xdr:row>
      <xdr:rowOff>114300</xdr:rowOff>
    </xdr:from>
    <xdr:to>
      <xdr:col>13</xdr:col>
      <xdr:colOff>152400</xdr:colOff>
      <xdr:row>12</xdr:row>
      <xdr:rowOff>123825</xdr:rowOff>
    </xdr:to>
    <xdr:sp macro="" textlink="">
      <xdr:nvSpPr>
        <xdr:cNvPr id="6" name="ZoneText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0544175" y="1857375"/>
          <a:ext cx="18192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r>
            <a:rPr lang="fr-FR" sz="1100" b="1">
              <a:solidFill>
                <a:schemeClr val="accent1"/>
              </a:solidFill>
            </a:rPr>
            <a:t>&gt;</a:t>
          </a:r>
          <a:r>
            <a:rPr lang="fr-FR" sz="1100" b="1" baseline="0">
              <a:solidFill>
                <a:schemeClr val="accent1"/>
              </a:solidFill>
            </a:rPr>
            <a:t> Inventaire</a:t>
          </a:r>
        </a:p>
        <a:p>
          <a:endParaRPr lang="fr-FR" sz="1100" b="1" baseline="0">
            <a:solidFill>
              <a:schemeClr val="accent1"/>
            </a:solidFill>
          </a:endParaRPr>
        </a:p>
        <a:p>
          <a:endParaRPr lang="fr-FR" sz="1100" baseline="0"/>
        </a:p>
        <a:p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N335"/>
  <sheetViews>
    <sheetView workbookViewId="0">
      <selection activeCell="I13" sqref="I13"/>
    </sheetView>
  </sheetViews>
  <sheetFormatPr baseColWidth="10" defaultRowHeight="14.5" x14ac:dyDescent="0.35"/>
  <cols>
    <col min="1" max="1" width="17" customWidth="1"/>
    <col min="2" max="2" width="42" customWidth="1"/>
    <col min="3" max="3" width="18.81640625" customWidth="1"/>
    <col min="4" max="4" width="14" style="23" bestFit="1" customWidth="1"/>
    <col min="5" max="5" width="11.1796875" customWidth="1"/>
    <col min="6" max="6" width="12.90625" bestFit="1" customWidth="1"/>
  </cols>
  <sheetData>
    <row r="1" spans="1:14" ht="15" thickBot="1" x14ac:dyDescent="0.4">
      <c r="F1" s="22" t="s">
        <v>22</v>
      </c>
      <c r="G1" s="22" t="s">
        <v>29</v>
      </c>
    </row>
    <row r="2" spans="1:14" x14ac:dyDescent="0.35">
      <c r="B2" s="36" t="s">
        <v>8</v>
      </c>
      <c r="C2" s="37"/>
      <c r="D2" s="38"/>
    </row>
    <row r="3" spans="1:14" ht="15" thickBot="1" x14ac:dyDescent="0.4">
      <c r="B3" s="39"/>
      <c r="C3" s="40"/>
      <c r="D3" s="41"/>
    </row>
    <row r="4" spans="1:14" x14ac:dyDescent="0.35">
      <c r="N4" s="5"/>
    </row>
    <row r="5" spans="1:14" x14ac:dyDescent="0.35">
      <c r="N5" s="5"/>
    </row>
    <row r="6" spans="1:14" x14ac:dyDescent="0.35">
      <c r="N6" s="5"/>
    </row>
    <row r="7" spans="1:14" x14ac:dyDescent="0.35">
      <c r="A7" s="16" t="s">
        <v>35</v>
      </c>
      <c r="B7" s="16" t="s">
        <v>5</v>
      </c>
      <c r="C7" s="16" t="s">
        <v>0</v>
      </c>
      <c r="D7" s="24" t="s">
        <v>36</v>
      </c>
      <c r="E7" s="16" t="s">
        <v>17</v>
      </c>
      <c r="F7" s="30" t="s">
        <v>37</v>
      </c>
      <c r="G7" s="30" t="s">
        <v>38</v>
      </c>
      <c r="N7" s="5"/>
    </row>
    <row r="8" spans="1:14" ht="15.5" x14ac:dyDescent="0.35">
      <c r="A8" s="33" t="s">
        <v>53</v>
      </c>
      <c r="B8" s="33" t="s">
        <v>40</v>
      </c>
      <c r="C8" s="33">
        <v>108252</v>
      </c>
      <c r="D8" s="33">
        <v>2.3159999999999998</v>
      </c>
      <c r="E8" s="33" t="s">
        <v>23</v>
      </c>
      <c r="F8" s="4">
        <f>D8/G8</f>
        <v>2.3159999999999998</v>
      </c>
      <c r="G8" s="4">
        <v>1</v>
      </c>
      <c r="N8" s="5"/>
    </row>
    <row r="9" spans="1:14" ht="15.5" x14ac:dyDescent="0.35">
      <c r="A9" s="33" t="s">
        <v>68</v>
      </c>
      <c r="B9" s="33" t="s">
        <v>41</v>
      </c>
      <c r="C9" s="33">
        <v>112958</v>
      </c>
      <c r="D9" s="33">
        <v>5.82</v>
      </c>
      <c r="E9" s="33" t="s">
        <v>23</v>
      </c>
      <c r="F9" s="4">
        <f t="shared" ref="F9:F72" si="0">D9/G9</f>
        <v>0.14550000000000002</v>
      </c>
      <c r="G9" s="4">
        <v>40</v>
      </c>
      <c r="N9" s="5"/>
    </row>
    <row r="10" spans="1:14" ht="15.5" x14ac:dyDescent="0.35">
      <c r="A10" s="33" t="s">
        <v>69</v>
      </c>
      <c r="B10" s="33" t="s">
        <v>42</v>
      </c>
      <c r="C10" s="33">
        <v>11316</v>
      </c>
      <c r="D10" s="33">
        <v>5.82</v>
      </c>
      <c r="E10" s="33" t="s">
        <v>23</v>
      </c>
      <c r="F10" s="4">
        <f t="shared" si="0"/>
        <v>5.82</v>
      </c>
      <c r="G10" s="4">
        <v>1</v>
      </c>
      <c r="H10" s="5"/>
    </row>
    <row r="11" spans="1:14" ht="15.5" x14ac:dyDescent="0.35">
      <c r="A11" s="33" t="s">
        <v>70</v>
      </c>
      <c r="B11" s="33" t="s">
        <v>71</v>
      </c>
      <c r="C11" s="33">
        <v>27067</v>
      </c>
      <c r="D11" s="33">
        <v>1.77</v>
      </c>
      <c r="E11" s="33" t="s">
        <v>23</v>
      </c>
      <c r="F11" s="4">
        <f t="shared" si="0"/>
        <v>1.77</v>
      </c>
      <c r="G11" s="4">
        <v>1</v>
      </c>
      <c r="H11" s="5"/>
    </row>
    <row r="12" spans="1:14" ht="15.5" x14ac:dyDescent="0.35">
      <c r="A12" s="33" t="s">
        <v>72</v>
      </c>
      <c r="B12" s="33" t="s">
        <v>73</v>
      </c>
      <c r="C12" s="33">
        <v>27723</v>
      </c>
      <c r="D12" s="33">
        <v>1.56</v>
      </c>
      <c r="E12" s="33" t="s">
        <v>23</v>
      </c>
      <c r="F12" s="4">
        <f t="shared" si="0"/>
        <v>1.56</v>
      </c>
      <c r="G12" s="4">
        <v>1</v>
      </c>
      <c r="H12" s="5"/>
    </row>
    <row r="13" spans="1:14" ht="15.5" x14ac:dyDescent="0.35">
      <c r="A13" s="33" t="s">
        <v>74</v>
      </c>
      <c r="B13" s="33" t="s">
        <v>75</v>
      </c>
      <c r="C13" s="33">
        <v>28749</v>
      </c>
      <c r="D13" s="33">
        <v>4.43</v>
      </c>
      <c r="E13" s="33" t="s">
        <v>23</v>
      </c>
      <c r="F13" s="4">
        <f t="shared" si="0"/>
        <v>4.43</v>
      </c>
      <c r="G13" s="4">
        <v>1</v>
      </c>
      <c r="H13" s="5"/>
    </row>
    <row r="14" spans="1:14" ht="15.75" customHeight="1" x14ac:dyDescent="0.35">
      <c r="A14" s="33" t="s">
        <v>76</v>
      </c>
      <c r="B14" s="33" t="s">
        <v>77</v>
      </c>
      <c r="C14" s="33">
        <v>32180</v>
      </c>
      <c r="D14" s="33">
        <v>0.55000000000000004</v>
      </c>
      <c r="E14" s="33" t="s">
        <v>27</v>
      </c>
      <c r="F14" s="4">
        <f t="shared" si="0"/>
        <v>0.55000000000000004</v>
      </c>
      <c r="G14" s="4">
        <v>1</v>
      </c>
      <c r="H14" s="5"/>
    </row>
    <row r="15" spans="1:14" ht="15.5" x14ac:dyDescent="0.35">
      <c r="A15" s="33" t="s">
        <v>54</v>
      </c>
      <c r="B15" s="33" t="s">
        <v>43</v>
      </c>
      <c r="C15" s="33">
        <v>37577</v>
      </c>
      <c r="D15" s="33">
        <v>12.89</v>
      </c>
      <c r="E15" s="33" t="s">
        <v>23</v>
      </c>
      <c r="F15" s="4">
        <f t="shared" si="0"/>
        <v>12.89</v>
      </c>
      <c r="G15" s="4">
        <v>1</v>
      </c>
      <c r="H15" s="5"/>
      <c r="I15" s="5"/>
    </row>
    <row r="16" spans="1:14" ht="15.5" x14ac:dyDescent="0.35">
      <c r="A16" s="33" t="s">
        <v>78</v>
      </c>
      <c r="B16" s="33" t="s">
        <v>44</v>
      </c>
      <c r="C16" s="33">
        <v>37875</v>
      </c>
      <c r="D16" s="33">
        <v>6.66</v>
      </c>
      <c r="E16" s="33" t="s">
        <v>23</v>
      </c>
      <c r="F16" s="4">
        <f t="shared" si="0"/>
        <v>6.66</v>
      </c>
      <c r="G16" s="4">
        <v>1</v>
      </c>
      <c r="H16" s="5"/>
      <c r="I16" s="5"/>
    </row>
    <row r="17" spans="1:9" ht="15.75" customHeight="1" x14ac:dyDescent="0.35">
      <c r="A17" s="33" t="s">
        <v>79</v>
      </c>
      <c r="B17" s="33" t="s">
        <v>80</v>
      </c>
      <c r="C17" s="33">
        <v>38660</v>
      </c>
      <c r="D17" s="33">
        <v>5.65</v>
      </c>
      <c r="E17" s="33" t="s">
        <v>23</v>
      </c>
      <c r="F17" s="4">
        <f t="shared" si="0"/>
        <v>5.65</v>
      </c>
      <c r="G17" s="4">
        <v>1</v>
      </c>
      <c r="H17" s="5"/>
      <c r="I17" s="5"/>
    </row>
    <row r="18" spans="1:9" ht="15.75" customHeight="1" x14ac:dyDescent="0.35">
      <c r="A18" s="33" t="s">
        <v>55</v>
      </c>
      <c r="B18" s="33" t="s">
        <v>45</v>
      </c>
      <c r="C18" s="33">
        <v>41208</v>
      </c>
      <c r="D18" s="33">
        <v>38.83</v>
      </c>
      <c r="E18" s="33" t="s">
        <v>28</v>
      </c>
      <c r="F18" s="4">
        <f t="shared" si="0"/>
        <v>38.83</v>
      </c>
      <c r="G18" s="4">
        <v>1</v>
      </c>
    </row>
    <row r="19" spans="1:9" ht="15.75" customHeight="1" x14ac:dyDescent="0.35">
      <c r="A19" s="33" t="s">
        <v>55</v>
      </c>
      <c r="B19" s="33" t="s">
        <v>46</v>
      </c>
      <c r="C19" s="33">
        <v>41269</v>
      </c>
      <c r="D19" s="33">
        <v>44.8</v>
      </c>
      <c r="E19" s="33" t="s">
        <v>28</v>
      </c>
      <c r="F19" s="4">
        <f t="shared" si="0"/>
        <v>44.8</v>
      </c>
      <c r="G19" s="4">
        <v>1</v>
      </c>
    </row>
    <row r="20" spans="1:9" ht="15.5" x14ac:dyDescent="0.35">
      <c r="A20" s="33" t="s">
        <v>56</v>
      </c>
      <c r="B20" s="33" t="s">
        <v>47</v>
      </c>
      <c r="C20" s="33">
        <v>42544</v>
      </c>
      <c r="D20" s="33">
        <v>0.24</v>
      </c>
      <c r="E20" s="33" t="s">
        <v>24</v>
      </c>
      <c r="F20" s="4">
        <f t="shared" si="0"/>
        <v>0.24</v>
      </c>
      <c r="G20" s="4">
        <v>1</v>
      </c>
    </row>
    <row r="21" spans="1:9" ht="15.5" x14ac:dyDescent="0.35">
      <c r="A21" s="33" t="s">
        <v>56</v>
      </c>
      <c r="B21" s="33" t="s">
        <v>48</v>
      </c>
      <c r="C21" s="33">
        <v>42562</v>
      </c>
      <c r="D21" s="33">
        <v>0.18</v>
      </c>
      <c r="E21" s="33" t="s">
        <v>28</v>
      </c>
      <c r="F21" s="4">
        <f t="shared" si="0"/>
        <v>0.18</v>
      </c>
      <c r="G21" s="4">
        <v>1</v>
      </c>
    </row>
    <row r="22" spans="1:9" ht="15.5" x14ac:dyDescent="0.35">
      <c r="A22" s="33" t="s">
        <v>57</v>
      </c>
      <c r="B22" s="33" t="s">
        <v>49</v>
      </c>
      <c r="C22" s="33">
        <v>43640</v>
      </c>
      <c r="D22" s="33">
        <v>9.76</v>
      </c>
      <c r="E22" s="33" t="s">
        <v>24</v>
      </c>
      <c r="F22" s="4">
        <f t="shared" si="0"/>
        <v>9.76</v>
      </c>
      <c r="G22" s="4">
        <v>1</v>
      </c>
    </row>
    <row r="23" spans="1:9" ht="15.5" x14ac:dyDescent="0.35">
      <c r="A23" s="33" t="s">
        <v>58</v>
      </c>
      <c r="B23" s="33" t="s">
        <v>50</v>
      </c>
      <c r="C23" s="33">
        <v>44614</v>
      </c>
      <c r="D23" s="33">
        <v>0.88</v>
      </c>
      <c r="E23" s="33" t="s">
        <v>24</v>
      </c>
      <c r="F23" s="4">
        <f t="shared" si="0"/>
        <v>0.88</v>
      </c>
      <c r="G23" s="4">
        <v>1</v>
      </c>
    </row>
    <row r="24" spans="1:9" ht="15.5" x14ac:dyDescent="0.35">
      <c r="A24" s="33" t="s">
        <v>59</v>
      </c>
      <c r="B24" s="33" t="s">
        <v>51</v>
      </c>
      <c r="C24" s="33">
        <v>47013</v>
      </c>
      <c r="D24" s="33">
        <v>23.53</v>
      </c>
      <c r="E24" s="33" t="s">
        <v>23</v>
      </c>
      <c r="F24" s="4">
        <f t="shared" si="0"/>
        <v>23.53</v>
      </c>
      <c r="G24" s="4">
        <v>1</v>
      </c>
    </row>
    <row r="25" spans="1:9" ht="15.5" x14ac:dyDescent="0.35">
      <c r="A25" s="33" t="s">
        <v>59</v>
      </c>
      <c r="B25" s="33" t="s">
        <v>52</v>
      </c>
      <c r="C25" s="33">
        <v>46914</v>
      </c>
      <c r="D25" s="33">
        <v>22.69</v>
      </c>
      <c r="E25" s="33" t="s">
        <v>23</v>
      </c>
      <c r="F25" s="4">
        <f t="shared" si="0"/>
        <v>22.69</v>
      </c>
      <c r="G25" s="4">
        <v>1</v>
      </c>
      <c r="I25" s="23"/>
    </row>
    <row r="26" spans="1:9" ht="15.5" x14ac:dyDescent="0.35">
      <c r="A26" s="33" t="s">
        <v>81</v>
      </c>
      <c r="B26" s="33" t="s">
        <v>82</v>
      </c>
      <c r="C26" s="33">
        <v>53834</v>
      </c>
      <c r="D26" s="33">
        <v>7.55</v>
      </c>
      <c r="E26" s="33" t="s">
        <v>23</v>
      </c>
      <c r="F26" s="4">
        <f t="shared" si="0"/>
        <v>7.55</v>
      </c>
      <c r="G26" s="4">
        <v>1</v>
      </c>
    </row>
    <row r="27" spans="1:9" ht="15.5" x14ac:dyDescent="0.35">
      <c r="A27" s="33" t="s">
        <v>83</v>
      </c>
      <c r="B27" s="33" t="s">
        <v>84</v>
      </c>
      <c r="C27" s="33">
        <v>58077</v>
      </c>
      <c r="D27" s="33">
        <v>43.92</v>
      </c>
      <c r="E27" s="33" t="s">
        <v>23</v>
      </c>
      <c r="F27" s="4">
        <f t="shared" si="0"/>
        <v>43.92</v>
      </c>
      <c r="G27" s="4">
        <v>1</v>
      </c>
      <c r="H27" s="5"/>
      <c r="I27" s="5"/>
    </row>
    <row r="28" spans="1:9" ht="15.5" x14ac:dyDescent="0.35">
      <c r="A28" s="33" t="s">
        <v>85</v>
      </c>
      <c r="B28" s="33" t="s">
        <v>86</v>
      </c>
      <c r="C28" s="33">
        <v>63759</v>
      </c>
      <c r="D28" s="33">
        <v>1.75</v>
      </c>
      <c r="E28" s="33" t="s">
        <v>23</v>
      </c>
      <c r="F28" s="4">
        <f t="shared" si="0"/>
        <v>1.75</v>
      </c>
      <c r="G28" s="4">
        <v>1</v>
      </c>
      <c r="H28" s="5"/>
      <c r="I28" s="5"/>
    </row>
    <row r="29" spans="1:9" ht="15.5" x14ac:dyDescent="0.35">
      <c r="A29" s="33" t="s">
        <v>87</v>
      </c>
      <c r="B29" s="33" t="s">
        <v>88</v>
      </c>
      <c r="C29" s="33">
        <v>73011</v>
      </c>
      <c r="D29" s="33">
        <v>1.69</v>
      </c>
      <c r="E29" s="33" t="s">
        <v>23</v>
      </c>
      <c r="F29" s="4">
        <f t="shared" si="0"/>
        <v>1.69</v>
      </c>
      <c r="G29" s="4">
        <v>1</v>
      </c>
      <c r="I29" s="5"/>
    </row>
    <row r="30" spans="1:9" ht="15.5" x14ac:dyDescent="0.35">
      <c r="A30" s="33" t="s">
        <v>79</v>
      </c>
      <c r="B30" s="33" t="s">
        <v>89</v>
      </c>
      <c r="C30" s="33">
        <v>73190</v>
      </c>
      <c r="D30" s="33">
        <v>9</v>
      </c>
      <c r="E30" s="33" t="s">
        <v>23</v>
      </c>
      <c r="F30" s="4">
        <f t="shared" si="0"/>
        <v>9</v>
      </c>
      <c r="G30" s="4">
        <v>1</v>
      </c>
      <c r="I30" s="5"/>
    </row>
    <row r="31" spans="1:9" ht="15.5" x14ac:dyDescent="0.35">
      <c r="A31" s="33" t="s">
        <v>79</v>
      </c>
      <c r="B31" s="33" t="s">
        <v>90</v>
      </c>
      <c r="C31" s="33">
        <v>73191</v>
      </c>
      <c r="D31" s="33">
        <v>7.35</v>
      </c>
      <c r="E31" s="33" t="s">
        <v>23</v>
      </c>
      <c r="F31" s="4">
        <f t="shared" si="0"/>
        <v>7.35</v>
      </c>
      <c r="G31" s="4">
        <v>1</v>
      </c>
      <c r="I31" s="5"/>
    </row>
    <row r="32" spans="1:9" ht="15.5" x14ac:dyDescent="0.35">
      <c r="A32" s="33" t="s">
        <v>91</v>
      </c>
      <c r="B32" s="33" t="s">
        <v>92</v>
      </c>
      <c r="C32" s="33">
        <v>84304</v>
      </c>
      <c r="D32" s="33">
        <v>8.51</v>
      </c>
      <c r="E32" s="33" t="s">
        <v>23</v>
      </c>
      <c r="F32" s="4">
        <f t="shared" si="0"/>
        <v>8.51</v>
      </c>
      <c r="G32" s="4">
        <v>1</v>
      </c>
    </row>
    <row r="33" spans="1:7" ht="15.5" x14ac:dyDescent="0.35">
      <c r="A33" s="33" t="s">
        <v>93</v>
      </c>
      <c r="B33" s="33" t="s">
        <v>94</v>
      </c>
      <c r="C33" s="33">
        <v>27196</v>
      </c>
      <c r="D33" s="33">
        <v>15.56</v>
      </c>
      <c r="E33" s="33" t="s">
        <v>23</v>
      </c>
      <c r="F33" s="4">
        <f t="shared" si="0"/>
        <v>15.56</v>
      </c>
      <c r="G33" s="4">
        <v>1</v>
      </c>
    </row>
    <row r="34" spans="1:7" ht="15.5" x14ac:dyDescent="0.35">
      <c r="A34" s="33" t="s">
        <v>93</v>
      </c>
      <c r="B34" s="33" t="s">
        <v>95</v>
      </c>
      <c r="C34" s="33">
        <v>27193</v>
      </c>
      <c r="D34" s="33">
        <v>9.0500000000000007</v>
      </c>
      <c r="E34" s="33" t="s">
        <v>23</v>
      </c>
      <c r="F34" s="4">
        <f t="shared" si="0"/>
        <v>9.0500000000000007</v>
      </c>
      <c r="G34" s="4">
        <v>1</v>
      </c>
    </row>
    <row r="35" spans="1:7" ht="15.5" x14ac:dyDescent="0.35">
      <c r="A35" s="33" t="s">
        <v>96</v>
      </c>
      <c r="B35" s="33" t="s">
        <v>97</v>
      </c>
      <c r="C35" s="33">
        <v>11667</v>
      </c>
      <c r="D35" s="33">
        <v>0.74</v>
      </c>
      <c r="E35" s="33" t="s">
        <v>23</v>
      </c>
      <c r="F35" s="4">
        <f t="shared" si="0"/>
        <v>0.74</v>
      </c>
      <c r="G35" s="4">
        <v>1</v>
      </c>
    </row>
    <row r="36" spans="1:7" ht="15.5" x14ac:dyDescent="0.35">
      <c r="A36" s="33" t="s">
        <v>98</v>
      </c>
      <c r="B36" s="33" t="s">
        <v>99</v>
      </c>
      <c r="C36" s="33">
        <v>71072</v>
      </c>
      <c r="D36" s="33">
        <v>5.44</v>
      </c>
      <c r="E36" s="33" t="s">
        <v>23</v>
      </c>
      <c r="F36" s="4">
        <f t="shared" si="0"/>
        <v>5.44</v>
      </c>
      <c r="G36" s="4">
        <v>1</v>
      </c>
    </row>
    <row r="37" spans="1:7" ht="15.5" x14ac:dyDescent="0.35">
      <c r="A37" s="33" t="s">
        <v>100</v>
      </c>
      <c r="B37" s="33" t="s">
        <v>101</v>
      </c>
      <c r="C37" s="33">
        <v>46908</v>
      </c>
      <c r="D37" s="33">
        <v>5.13</v>
      </c>
      <c r="E37" s="33" t="s">
        <v>23</v>
      </c>
      <c r="F37" s="4">
        <f t="shared" si="0"/>
        <v>5.13</v>
      </c>
      <c r="G37" s="4">
        <v>1</v>
      </c>
    </row>
    <row r="38" spans="1:7" ht="15.5" x14ac:dyDescent="0.35">
      <c r="A38" s="33" t="s">
        <v>100</v>
      </c>
      <c r="B38" s="33" t="s">
        <v>102</v>
      </c>
      <c r="C38" s="33">
        <v>46905</v>
      </c>
      <c r="D38" s="33">
        <v>5.27</v>
      </c>
      <c r="E38" s="33" t="s">
        <v>23</v>
      </c>
      <c r="F38" s="4">
        <f t="shared" si="0"/>
        <v>5.27</v>
      </c>
      <c r="G38" s="4">
        <v>1</v>
      </c>
    </row>
    <row r="39" spans="1:7" ht="15.5" x14ac:dyDescent="0.35">
      <c r="A39" s="33" t="s">
        <v>103</v>
      </c>
      <c r="B39" s="33" t="s">
        <v>104</v>
      </c>
      <c r="C39" s="33">
        <v>71275</v>
      </c>
      <c r="D39" s="33">
        <v>4.28</v>
      </c>
      <c r="E39" s="33" t="s">
        <v>23</v>
      </c>
      <c r="F39" s="4">
        <f t="shared" si="0"/>
        <v>4.28</v>
      </c>
      <c r="G39" s="4">
        <v>1</v>
      </c>
    </row>
    <row r="40" spans="1:7" ht="15.5" x14ac:dyDescent="0.35">
      <c r="A40" s="33" t="s">
        <v>105</v>
      </c>
      <c r="B40" s="33" t="s">
        <v>106</v>
      </c>
      <c r="C40" s="33">
        <v>89585</v>
      </c>
      <c r="D40" s="33">
        <v>1.94</v>
      </c>
      <c r="E40" s="33" t="s">
        <v>23</v>
      </c>
      <c r="F40" s="4">
        <f t="shared" si="0"/>
        <v>1.94</v>
      </c>
      <c r="G40" s="4">
        <v>1</v>
      </c>
    </row>
    <row r="41" spans="1:7" ht="15.5" x14ac:dyDescent="0.35">
      <c r="A41" s="33" t="s">
        <v>85</v>
      </c>
      <c r="B41" s="33" t="s">
        <v>107</v>
      </c>
      <c r="C41" s="33">
        <v>63968</v>
      </c>
      <c r="D41" s="33">
        <v>1.95</v>
      </c>
      <c r="E41" s="33" t="s">
        <v>23</v>
      </c>
      <c r="F41" s="4">
        <f t="shared" si="0"/>
        <v>1.95</v>
      </c>
      <c r="G41" s="4">
        <v>1</v>
      </c>
    </row>
    <row r="42" spans="1:7" ht="15.5" x14ac:dyDescent="0.35">
      <c r="A42" s="33" t="s">
        <v>69</v>
      </c>
      <c r="B42" s="33" t="s">
        <v>108</v>
      </c>
      <c r="C42" s="33">
        <v>54548</v>
      </c>
      <c r="D42" s="33">
        <v>3.21</v>
      </c>
      <c r="E42" s="33" t="s">
        <v>23</v>
      </c>
      <c r="F42" s="4">
        <f t="shared" si="0"/>
        <v>3.21</v>
      </c>
      <c r="G42" s="4">
        <v>1</v>
      </c>
    </row>
    <row r="43" spans="1:7" ht="15.5" x14ac:dyDescent="0.35">
      <c r="A43" s="33" t="s">
        <v>109</v>
      </c>
      <c r="B43" s="33" t="s">
        <v>110</v>
      </c>
      <c r="C43" s="33">
        <v>27192</v>
      </c>
      <c r="D43" s="33">
        <v>8.58</v>
      </c>
      <c r="E43" s="33" t="s">
        <v>23</v>
      </c>
      <c r="F43" s="4">
        <f t="shared" si="0"/>
        <v>8.58</v>
      </c>
      <c r="G43" s="4">
        <v>1</v>
      </c>
    </row>
    <row r="44" spans="1:7" ht="15.5" x14ac:dyDescent="0.35">
      <c r="A44" s="33" t="s">
        <v>111</v>
      </c>
      <c r="B44" s="33" t="s">
        <v>112</v>
      </c>
      <c r="C44" s="33">
        <v>54912</v>
      </c>
      <c r="D44" s="33">
        <v>2.21</v>
      </c>
      <c r="E44" s="33" t="s">
        <v>28</v>
      </c>
      <c r="F44" s="4">
        <f t="shared" si="0"/>
        <v>2.21</v>
      </c>
      <c r="G44" s="4">
        <v>1</v>
      </c>
    </row>
    <row r="45" spans="1:7" ht="15.5" x14ac:dyDescent="0.35">
      <c r="A45" s="33" t="s">
        <v>113</v>
      </c>
      <c r="B45" s="33" t="s">
        <v>114</v>
      </c>
      <c r="C45" s="33">
        <v>88178</v>
      </c>
      <c r="D45" s="33">
        <v>5.61</v>
      </c>
      <c r="E45" s="33" t="s">
        <v>23</v>
      </c>
      <c r="F45" s="4">
        <f t="shared" si="0"/>
        <v>5.61</v>
      </c>
      <c r="G45" s="4">
        <v>1</v>
      </c>
    </row>
    <row r="46" spans="1:7" ht="15.5" x14ac:dyDescent="0.35">
      <c r="A46" s="33" t="s">
        <v>115</v>
      </c>
      <c r="B46" s="33" t="s">
        <v>116</v>
      </c>
      <c r="C46" s="33">
        <v>84604</v>
      </c>
      <c r="D46" s="33">
        <v>14.225</v>
      </c>
      <c r="E46" s="33" t="s">
        <v>28</v>
      </c>
      <c r="F46" s="4">
        <f t="shared" si="0"/>
        <v>14.225</v>
      </c>
      <c r="G46" s="4">
        <v>1</v>
      </c>
    </row>
    <row r="47" spans="1:7" ht="15.5" x14ac:dyDescent="0.35">
      <c r="A47" s="33" t="s">
        <v>117</v>
      </c>
      <c r="B47" s="33" t="s">
        <v>118</v>
      </c>
      <c r="C47" s="33">
        <v>73318</v>
      </c>
      <c r="D47" s="33">
        <v>8.34</v>
      </c>
      <c r="E47" s="33" t="s">
        <v>28</v>
      </c>
      <c r="F47" s="4">
        <f t="shared" si="0"/>
        <v>8.34</v>
      </c>
      <c r="G47" s="4">
        <v>1</v>
      </c>
    </row>
    <row r="48" spans="1:7" ht="15.5" x14ac:dyDescent="0.35">
      <c r="A48" s="33" t="s">
        <v>119</v>
      </c>
      <c r="B48" s="33" t="s">
        <v>120</v>
      </c>
      <c r="C48" s="33">
        <v>112068</v>
      </c>
      <c r="D48" s="33">
        <v>3.41</v>
      </c>
      <c r="E48" s="33" t="s">
        <v>23</v>
      </c>
      <c r="F48" s="4">
        <f t="shared" si="0"/>
        <v>3.41</v>
      </c>
      <c r="G48" s="4">
        <v>1</v>
      </c>
    </row>
    <row r="49" spans="1:7" ht="15.5" x14ac:dyDescent="0.35">
      <c r="A49" s="33" t="s">
        <v>121</v>
      </c>
      <c r="B49" s="33" t="s">
        <v>122</v>
      </c>
      <c r="C49" s="33">
        <v>115514</v>
      </c>
      <c r="D49" s="33">
        <v>6.72</v>
      </c>
      <c r="E49" s="33" t="s">
        <v>24</v>
      </c>
      <c r="F49" s="4">
        <f t="shared" si="0"/>
        <v>6.72</v>
      </c>
      <c r="G49" s="4">
        <v>1</v>
      </c>
    </row>
    <row r="50" spans="1:7" ht="15.5" x14ac:dyDescent="0.35">
      <c r="A50" s="33" t="s">
        <v>58</v>
      </c>
      <c r="B50" s="33" t="s">
        <v>123</v>
      </c>
      <c r="C50" s="33">
        <v>42748</v>
      </c>
      <c r="D50" s="33">
        <v>0.56999999999999995</v>
      </c>
      <c r="E50" s="33" t="s">
        <v>24</v>
      </c>
      <c r="F50" s="4">
        <f t="shared" si="0"/>
        <v>0.56999999999999995</v>
      </c>
      <c r="G50" s="4">
        <v>1</v>
      </c>
    </row>
    <row r="51" spans="1:7" ht="15.5" x14ac:dyDescent="0.35">
      <c r="A51" s="33" t="s">
        <v>124</v>
      </c>
      <c r="B51" s="33" t="s">
        <v>125</v>
      </c>
      <c r="C51" s="33">
        <v>43734</v>
      </c>
      <c r="D51" s="33">
        <v>3.09</v>
      </c>
      <c r="E51" s="33" t="s">
        <v>24</v>
      </c>
      <c r="F51" s="4">
        <f t="shared" si="0"/>
        <v>3.09</v>
      </c>
      <c r="G51" s="4">
        <v>1</v>
      </c>
    </row>
    <row r="52" spans="1:7" ht="15.5" x14ac:dyDescent="0.35">
      <c r="A52" s="33" t="s">
        <v>126</v>
      </c>
      <c r="B52" s="33" t="s">
        <v>127</v>
      </c>
      <c r="C52" s="33">
        <v>90793</v>
      </c>
      <c r="D52" s="33">
        <v>4.05</v>
      </c>
      <c r="E52" s="33" t="s">
        <v>27</v>
      </c>
      <c r="F52" s="4">
        <f t="shared" si="0"/>
        <v>4.05</v>
      </c>
      <c r="G52" s="4">
        <v>1</v>
      </c>
    </row>
    <row r="53" spans="1:7" ht="15.5" x14ac:dyDescent="0.35">
      <c r="A53" s="33" t="s">
        <v>128</v>
      </c>
      <c r="B53" s="33" t="s">
        <v>129</v>
      </c>
      <c r="C53" s="33">
        <v>38100</v>
      </c>
      <c r="D53" s="33">
        <v>0.94499999999999995</v>
      </c>
      <c r="E53" s="33" t="s">
        <v>23</v>
      </c>
      <c r="F53" s="4">
        <f t="shared" si="0"/>
        <v>0.94499999999999995</v>
      </c>
      <c r="G53" s="4">
        <v>1</v>
      </c>
    </row>
    <row r="54" spans="1:7" ht="15.5" x14ac:dyDescent="0.35">
      <c r="A54" s="33" t="s">
        <v>130</v>
      </c>
      <c r="B54" s="32" t="s">
        <v>131</v>
      </c>
      <c r="C54" s="33">
        <v>410605</v>
      </c>
      <c r="D54" s="32">
        <v>0.14000000000000001</v>
      </c>
      <c r="E54" s="33" t="s">
        <v>28</v>
      </c>
      <c r="F54" s="4">
        <f t="shared" si="0"/>
        <v>0.14000000000000001</v>
      </c>
      <c r="G54" s="4">
        <v>1</v>
      </c>
    </row>
    <row r="55" spans="1:7" ht="15.5" x14ac:dyDescent="0.35">
      <c r="A55" s="33" t="s">
        <v>132</v>
      </c>
      <c r="B55" s="33" t="s">
        <v>133</v>
      </c>
      <c r="C55" s="33">
        <v>300877</v>
      </c>
      <c r="D55" s="33">
        <v>2.66</v>
      </c>
      <c r="E55" s="33" t="s">
        <v>23</v>
      </c>
      <c r="F55" s="4">
        <f t="shared" si="0"/>
        <v>2.66</v>
      </c>
      <c r="G55" s="4">
        <v>1</v>
      </c>
    </row>
    <row r="56" spans="1:7" ht="15.5" x14ac:dyDescent="0.35">
      <c r="A56" s="33" t="s">
        <v>134</v>
      </c>
      <c r="B56" s="33" t="s">
        <v>135</v>
      </c>
      <c r="C56" s="33">
        <v>255588</v>
      </c>
      <c r="D56" s="33">
        <v>32.979999999999997</v>
      </c>
      <c r="E56" s="33" t="s">
        <v>23</v>
      </c>
      <c r="F56" s="4">
        <f t="shared" si="0"/>
        <v>32.979999999999997</v>
      </c>
      <c r="G56" s="4">
        <v>1</v>
      </c>
    </row>
    <row r="57" spans="1:7" ht="15.5" x14ac:dyDescent="0.35">
      <c r="A57" s="33" t="s">
        <v>136</v>
      </c>
      <c r="B57" s="33" t="s">
        <v>137</v>
      </c>
      <c r="C57" s="33">
        <v>249604</v>
      </c>
      <c r="D57" s="33">
        <v>5.17</v>
      </c>
      <c r="E57" s="33" t="s">
        <v>23</v>
      </c>
      <c r="F57" s="4">
        <f t="shared" si="0"/>
        <v>1.7233333333333334</v>
      </c>
      <c r="G57" s="4">
        <v>3</v>
      </c>
    </row>
    <row r="58" spans="1:7" ht="15.5" x14ac:dyDescent="0.35">
      <c r="A58" s="33" t="s">
        <v>138</v>
      </c>
      <c r="B58" s="33" t="s">
        <v>139</v>
      </c>
      <c r="C58" s="33">
        <v>300737</v>
      </c>
      <c r="D58" s="33">
        <v>20.22</v>
      </c>
      <c r="E58" s="33" t="s">
        <v>23</v>
      </c>
      <c r="F58" s="4">
        <f t="shared" si="0"/>
        <v>20.22</v>
      </c>
      <c r="G58" s="4">
        <v>1</v>
      </c>
    </row>
    <row r="59" spans="1:7" ht="15.5" x14ac:dyDescent="0.35">
      <c r="A59" s="33" t="s">
        <v>140</v>
      </c>
      <c r="B59" s="33" t="s">
        <v>141</v>
      </c>
      <c r="C59" s="33">
        <v>644484</v>
      </c>
      <c r="D59" s="33">
        <v>46.15</v>
      </c>
      <c r="E59" s="33" t="s">
        <v>23</v>
      </c>
      <c r="F59" s="4">
        <f t="shared" si="0"/>
        <v>46.15</v>
      </c>
      <c r="G59" s="4">
        <v>1</v>
      </c>
    </row>
    <row r="60" spans="1:7" ht="15.5" x14ac:dyDescent="0.35">
      <c r="A60" s="33" t="s">
        <v>138</v>
      </c>
      <c r="B60" s="33" t="s">
        <v>142</v>
      </c>
      <c r="C60" s="33">
        <v>644492</v>
      </c>
      <c r="D60" s="33">
        <v>38.590000000000003</v>
      </c>
      <c r="E60" s="33" t="s">
        <v>23</v>
      </c>
      <c r="F60" s="4">
        <f t="shared" si="0"/>
        <v>38.590000000000003</v>
      </c>
      <c r="G60" s="4">
        <v>1</v>
      </c>
    </row>
    <row r="61" spans="1:7" ht="15.5" x14ac:dyDescent="0.35">
      <c r="A61" s="33" t="s">
        <v>143</v>
      </c>
      <c r="B61" s="33" t="s">
        <v>144</v>
      </c>
      <c r="C61" s="33">
        <v>804450</v>
      </c>
      <c r="D61" s="33">
        <v>25.42</v>
      </c>
      <c r="E61" s="33" t="s">
        <v>23</v>
      </c>
      <c r="F61" s="4">
        <f t="shared" si="0"/>
        <v>25.42</v>
      </c>
      <c r="G61" s="4">
        <v>1</v>
      </c>
    </row>
    <row r="62" spans="1:7" ht="15.5" x14ac:dyDescent="0.35">
      <c r="A62" s="33" t="s">
        <v>145</v>
      </c>
      <c r="B62" s="33" t="s">
        <v>146</v>
      </c>
      <c r="C62" s="33">
        <v>34280</v>
      </c>
      <c r="D62" s="33">
        <v>5.9909999999999997</v>
      </c>
      <c r="E62" s="33" t="s">
        <v>23</v>
      </c>
      <c r="F62" s="4">
        <f t="shared" si="0"/>
        <v>5.9909999999999997</v>
      </c>
      <c r="G62" s="4">
        <v>1</v>
      </c>
    </row>
    <row r="63" spans="1:7" ht="15.5" x14ac:dyDescent="0.35">
      <c r="A63" s="33" t="s">
        <v>147</v>
      </c>
      <c r="B63" s="33" t="s">
        <v>148</v>
      </c>
      <c r="C63" s="33">
        <v>240572</v>
      </c>
      <c r="D63" s="33">
        <v>7.1879999999999997</v>
      </c>
      <c r="E63" s="33" t="s">
        <v>23</v>
      </c>
      <c r="F63" s="4">
        <f t="shared" si="0"/>
        <v>7.1879999999999997</v>
      </c>
      <c r="G63" s="4">
        <v>1</v>
      </c>
    </row>
    <row r="64" spans="1:7" ht="15.5" x14ac:dyDescent="0.35">
      <c r="A64" s="33" t="s">
        <v>149</v>
      </c>
      <c r="B64" s="33" t="s">
        <v>150</v>
      </c>
      <c r="C64" s="33">
        <v>2727</v>
      </c>
      <c r="D64" s="33">
        <v>31.68</v>
      </c>
      <c r="E64" s="33" t="s">
        <v>27</v>
      </c>
      <c r="F64" s="4">
        <f t="shared" si="0"/>
        <v>31.68</v>
      </c>
      <c r="G64" s="4">
        <v>1</v>
      </c>
    </row>
    <row r="65" spans="1:7" ht="15.5" x14ac:dyDescent="0.35">
      <c r="A65" s="33" t="s">
        <v>136</v>
      </c>
      <c r="B65" s="33" t="s">
        <v>151</v>
      </c>
      <c r="C65" s="31" t="s">
        <v>152</v>
      </c>
      <c r="D65" s="33">
        <v>6.44</v>
      </c>
      <c r="E65" s="33" t="s">
        <v>27</v>
      </c>
      <c r="F65" s="4">
        <f t="shared" si="0"/>
        <v>6.44</v>
      </c>
      <c r="G65" s="4">
        <v>1</v>
      </c>
    </row>
    <row r="66" spans="1:7" ht="15.5" x14ac:dyDescent="0.35">
      <c r="A66" s="33" t="s">
        <v>153</v>
      </c>
      <c r="B66" s="33" t="s">
        <v>154</v>
      </c>
      <c r="C66" s="31" t="s">
        <v>155</v>
      </c>
      <c r="D66" s="33">
        <v>12.52</v>
      </c>
      <c r="E66" s="33" t="s">
        <v>27</v>
      </c>
      <c r="F66" s="4">
        <f t="shared" si="0"/>
        <v>12.52</v>
      </c>
      <c r="G66" s="4">
        <v>1</v>
      </c>
    </row>
    <row r="67" spans="1:7" ht="15.5" x14ac:dyDescent="0.35">
      <c r="A67" s="33" t="s">
        <v>156</v>
      </c>
      <c r="B67" s="33" t="s">
        <v>157</v>
      </c>
      <c r="C67" s="31" t="s">
        <v>158</v>
      </c>
      <c r="D67" s="33">
        <v>3.23</v>
      </c>
      <c r="E67" s="33" t="s">
        <v>27</v>
      </c>
      <c r="F67" s="4">
        <f t="shared" si="0"/>
        <v>3.23</v>
      </c>
      <c r="G67" s="4">
        <v>1</v>
      </c>
    </row>
    <row r="68" spans="1:7" ht="15.5" x14ac:dyDescent="0.35">
      <c r="A68" s="33" t="s">
        <v>159</v>
      </c>
      <c r="B68" s="33" t="s">
        <v>160</v>
      </c>
      <c r="C68" s="31" t="s">
        <v>161</v>
      </c>
      <c r="D68" s="33">
        <v>26.35</v>
      </c>
      <c r="E68" s="33" t="s">
        <v>27</v>
      </c>
      <c r="F68" s="4">
        <f t="shared" si="0"/>
        <v>26.35</v>
      </c>
      <c r="G68" s="4">
        <v>1</v>
      </c>
    </row>
    <row r="69" spans="1:7" ht="15.5" x14ac:dyDescent="0.35">
      <c r="A69" s="33" t="s">
        <v>162</v>
      </c>
      <c r="B69" s="33" t="s">
        <v>163</v>
      </c>
      <c r="C69" s="33">
        <v>2758</v>
      </c>
      <c r="D69" s="33">
        <v>0.6</v>
      </c>
      <c r="E69" s="33" t="s">
        <v>27</v>
      </c>
      <c r="F69" s="4">
        <f t="shared" si="0"/>
        <v>0.6</v>
      </c>
      <c r="G69" s="4">
        <v>1</v>
      </c>
    </row>
    <row r="70" spans="1:7" ht="15.5" x14ac:dyDescent="0.35">
      <c r="A70" s="33" t="s">
        <v>149</v>
      </c>
      <c r="B70" s="33" t="s">
        <v>164</v>
      </c>
      <c r="C70" s="33">
        <v>434</v>
      </c>
      <c r="D70" s="33">
        <v>32.31</v>
      </c>
      <c r="E70" s="33" t="s">
        <v>27</v>
      </c>
      <c r="F70" s="4">
        <f t="shared" si="0"/>
        <v>32.31</v>
      </c>
      <c r="G70" s="4">
        <v>1</v>
      </c>
    </row>
    <row r="71" spans="1:7" ht="15.5" x14ac:dyDescent="0.35">
      <c r="A71" s="33" t="s">
        <v>165</v>
      </c>
      <c r="B71" s="33" t="s">
        <v>166</v>
      </c>
      <c r="C71" s="33">
        <v>81060</v>
      </c>
      <c r="D71" s="33">
        <v>13.11</v>
      </c>
      <c r="E71" s="33" t="s">
        <v>27</v>
      </c>
      <c r="F71" s="4">
        <f t="shared" si="0"/>
        <v>13.11</v>
      </c>
      <c r="G71" s="4">
        <v>1</v>
      </c>
    </row>
    <row r="72" spans="1:7" ht="15.5" x14ac:dyDescent="0.35">
      <c r="A72" s="33" t="s">
        <v>167</v>
      </c>
      <c r="B72" s="33" t="s">
        <v>168</v>
      </c>
      <c r="C72" s="33">
        <v>5048</v>
      </c>
      <c r="D72" s="32">
        <v>50.4</v>
      </c>
      <c r="E72" s="33" t="s">
        <v>27</v>
      </c>
      <c r="F72" s="4">
        <f t="shared" si="0"/>
        <v>50.4</v>
      </c>
      <c r="G72" s="4">
        <v>1</v>
      </c>
    </row>
    <row r="73" spans="1:7" ht="15.5" x14ac:dyDescent="0.35">
      <c r="A73" s="33" t="s">
        <v>169</v>
      </c>
      <c r="B73" s="33" t="s">
        <v>170</v>
      </c>
      <c r="C73" s="33">
        <v>506603</v>
      </c>
      <c r="D73" s="33">
        <v>10.199999999999999</v>
      </c>
      <c r="E73" s="33" t="s">
        <v>27</v>
      </c>
      <c r="F73" s="4">
        <f t="shared" ref="F73:F83" si="1">D73/G73</f>
        <v>10.199999999999999</v>
      </c>
      <c r="G73" s="4">
        <v>1</v>
      </c>
    </row>
    <row r="74" spans="1:7" ht="15.5" x14ac:dyDescent="0.35">
      <c r="A74" s="33" t="s">
        <v>171</v>
      </c>
      <c r="B74" s="33" t="s">
        <v>172</v>
      </c>
      <c r="C74" s="31" t="s">
        <v>173</v>
      </c>
      <c r="D74" s="33">
        <v>6.7</v>
      </c>
      <c r="E74" s="33" t="s">
        <v>27</v>
      </c>
      <c r="F74" s="4">
        <f t="shared" si="1"/>
        <v>6.7</v>
      </c>
      <c r="G74" s="4">
        <v>1</v>
      </c>
    </row>
    <row r="75" spans="1:7" ht="15.5" x14ac:dyDescent="0.35">
      <c r="A75" s="33" t="s">
        <v>174</v>
      </c>
      <c r="B75" s="33" t="s">
        <v>175</v>
      </c>
      <c r="C75" s="33">
        <v>2005</v>
      </c>
      <c r="D75" s="33">
        <v>16</v>
      </c>
      <c r="E75" s="33" t="s">
        <v>27</v>
      </c>
      <c r="F75" s="4">
        <f t="shared" si="1"/>
        <v>16</v>
      </c>
      <c r="G75" s="4">
        <v>1</v>
      </c>
    </row>
    <row r="76" spans="1:7" ht="15.5" x14ac:dyDescent="0.35">
      <c r="A76" s="33" t="s">
        <v>176</v>
      </c>
      <c r="B76" s="33" t="s">
        <v>177</v>
      </c>
      <c r="C76" s="33">
        <v>103</v>
      </c>
      <c r="D76" s="33">
        <v>51.53</v>
      </c>
      <c r="E76" s="33" t="s">
        <v>27</v>
      </c>
      <c r="F76" s="4">
        <f t="shared" si="1"/>
        <v>51.53</v>
      </c>
      <c r="G76" s="4">
        <v>1</v>
      </c>
    </row>
    <row r="77" spans="1:7" ht="15.5" x14ac:dyDescent="0.35">
      <c r="A77" s="33" t="s">
        <v>178</v>
      </c>
      <c r="B77" s="33" t="s">
        <v>179</v>
      </c>
      <c r="C77" s="33">
        <v>2763</v>
      </c>
      <c r="D77" s="33">
        <v>8.0399999999999991</v>
      </c>
      <c r="E77" s="33" t="s">
        <v>27</v>
      </c>
      <c r="F77" s="4">
        <f t="shared" si="1"/>
        <v>8.0399999999999991</v>
      </c>
      <c r="G77" s="4">
        <v>1</v>
      </c>
    </row>
    <row r="78" spans="1:7" ht="15.5" x14ac:dyDescent="0.35">
      <c r="A78" s="33" t="s">
        <v>171</v>
      </c>
      <c r="B78" s="33" t="s">
        <v>180</v>
      </c>
      <c r="C78" s="33">
        <v>2125</v>
      </c>
      <c r="D78" s="33">
        <v>9.5399999999999991</v>
      </c>
      <c r="E78" s="33" t="s">
        <v>27</v>
      </c>
      <c r="F78" s="4">
        <f t="shared" si="1"/>
        <v>9.5399999999999991</v>
      </c>
      <c r="G78" s="4">
        <v>1</v>
      </c>
    </row>
    <row r="79" spans="1:7" ht="15.5" x14ac:dyDescent="0.35">
      <c r="A79" s="33" t="s">
        <v>181</v>
      </c>
      <c r="B79" s="33" t="s">
        <v>182</v>
      </c>
      <c r="C79" s="33">
        <v>2574</v>
      </c>
      <c r="D79" s="33">
        <v>13.83</v>
      </c>
      <c r="E79" s="33" t="s">
        <v>27</v>
      </c>
      <c r="F79" s="4">
        <f t="shared" si="1"/>
        <v>13.83</v>
      </c>
      <c r="G79" s="4">
        <v>1</v>
      </c>
    </row>
    <row r="80" spans="1:7" ht="15.5" x14ac:dyDescent="0.35">
      <c r="A80" s="33" t="s">
        <v>183</v>
      </c>
      <c r="B80" s="33" t="s">
        <v>184</v>
      </c>
      <c r="C80" s="33">
        <v>2583</v>
      </c>
      <c r="D80" s="33">
        <v>28.41</v>
      </c>
      <c r="E80" s="33" t="s">
        <v>27</v>
      </c>
      <c r="F80" s="4">
        <f t="shared" si="1"/>
        <v>28.41</v>
      </c>
      <c r="G80" s="4">
        <v>1</v>
      </c>
    </row>
    <row r="81" spans="1:7" ht="15.5" x14ac:dyDescent="0.35">
      <c r="A81" s="33" t="s">
        <v>185</v>
      </c>
      <c r="B81" s="33" t="s">
        <v>186</v>
      </c>
      <c r="C81" s="31" t="s">
        <v>187</v>
      </c>
      <c r="D81" s="33">
        <v>7.92</v>
      </c>
      <c r="E81" s="33" t="s">
        <v>27</v>
      </c>
      <c r="F81" s="4">
        <f t="shared" si="1"/>
        <v>7.92</v>
      </c>
      <c r="G81" s="4">
        <v>1</v>
      </c>
    </row>
    <row r="82" spans="1:7" ht="15.5" x14ac:dyDescent="0.35">
      <c r="A82" s="33" t="s">
        <v>167</v>
      </c>
      <c r="B82" s="33" t="s">
        <v>188</v>
      </c>
      <c r="C82" s="31" t="s">
        <v>189</v>
      </c>
      <c r="D82" s="33">
        <v>43.95</v>
      </c>
      <c r="E82" s="33" t="s">
        <v>27</v>
      </c>
      <c r="F82" s="4">
        <f t="shared" si="1"/>
        <v>43.95</v>
      </c>
      <c r="G82" s="4">
        <v>1</v>
      </c>
    </row>
    <row r="83" spans="1:7" ht="15.5" x14ac:dyDescent="0.35">
      <c r="A83" s="33" t="s">
        <v>190</v>
      </c>
      <c r="B83" s="33" t="s">
        <v>191</v>
      </c>
      <c r="C83" s="33">
        <v>706862</v>
      </c>
      <c r="D83" s="33">
        <v>3.42</v>
      </c>
      <c r="E83" s="33" t="s">
        <v>27</v>
      </c>
      <c r="F83" s="4">
        <f t="shared" si="1"/>
        <v>3.42</v>
      </c>
      <c r="G83" s="4">
        <v>1</v>
      </c>
    </row>
    <row r="84" spans="1:7" x14ac:dyDescent="0.35">
      <c r="A84" s="2"/>
      <c r="B84" s="4"/>
      <c r="C84" s="4"/>
      <c r="D84" s="25"/>
      <c r="E84" s="4"/>
      <c r="F84" s="4"/>
      <c r="G84" s="4"/>
    </row>
    <row r="85" spans="1:7" x14ac:dyDescent="0.35">
      <c r="A85" s="2"/>
      <c r="B85" s="4"/>
      <c r="C85" s="4"/>
      <c r="D85" s="25"/>
      <c r="E85" s="4"/>
      <c r="F85" s="4"/>
      <c r="G85" s="4"/>
    </row>
    <row r="86" spans="1:7" x14ac:dyDescent="0.35">
      <c r="A86" s="2"/>
      <c r="B86" s="4"/>
      <c r="C86" s="4"/>
      <c r="D86" s="25"/>
      <c r="E86" s="4"/>
      <c r="F86" s="4"/>
      <c r="G86" s="4"/>
    </row>
    <row r="87" spans="1:7" x14ac:dyDescent="0.35">
      <c r="A87" s="2"/>
      <c r="B87" s="4"/>
      <c r="C87" s="4"/>
      <c r="D87" s="25"/>
      <c r="E87" s="4"/>
      <c r="F87" s="4"/>
      <c r="G87" s="4"/>
    </row>
    <row r="88" spans="1:7" x14ac:dyDescent="0.35">
      <c r="A88" s="2"/>
      <c r="B88" s="4"/>
      <c r="C88" s="4"/>
      <c r="D88" s="25"/>
      <c r="E88" s="4"/>
      <c r="F88" s="4"/>
      <c r="G88" s="4"/>
    </row>
    <row r="89" spans="1:7" x14ac:dyDescent="0.35">
      <c r="A89" s="2"/>
      <c r="B89" s="4"/>
      <c r="C89" s="4"/>
      <c r="D89" s="25"/>
      <c r="E89" s="4"/>
      <c r="F89" s="4"/>
      <c r="G89" s="4"/>
    </row>
    <row r="90" spans="1:7" x14ac:dyDescent="0.35">
      <c r="A90" s="2"/>
      <c r="B90" s="4"/>
      <c r="C90" s="4"/>
      <c r="D90" s="25"/>
      <c r="E90" s="4"/>
      <c r="F90" s="4"/>
      <c r="G90" s="4"/>
    </row>
    <row r="91" spans="1:7" x14ac:dyDescent="0.35">
      <c r="A91" s="2"/>
      <c r="B91" s="4"/>
      <c r="C91" s="4"/>
      <c r="D91" s="25"/>
      <c r="E91" s="4"/>
      <c r="F91" s="4"/>
      <c r="G91" s="4"/>
    </row>
    <row r="92" spans="1:7" x14ac:dyDescent="0.35">
      <c r="A92" s="2"/>
      <c r="B92" s="4"/>
      <c r="C92" s="4"/>
      <c r="D92" s="25"/>
      <c r="E92" s="4"/>
      <c r="F92" s="4"/>
      <c r="G92" s="4"/>
    </row>
    <row r="93" spans="1:7" x14ac:dyDescent="0.35">
      <c r="A93" s="2"/>
      <c r="B93" s="4"/>
      <c r="C93" s="4"/>
      <c r="D93" s="25"/>
      <c r="E93" s="4"/>
      <c r="F93" s="4"/>
      <c r="G93" s="4"/>
    </row>
    <row r="94" spans="1:7" x14ac:dyDescent="0.35">
      <c r="A94" s="2"/>
      <c r="B94" s="4"/>
      <c r="C94" s="4"/>
      <c r="D94" s="25"/>
      <c r="E94" s="4"/>
      <c r="F94" s="4"/>
      <c r="G94" s="4"/>
    </row>
    <row r="95" spans="1:7" x14ac:dyDescent="0.35">
      <c r="A95" s="2"/>
      <c r="B95" s="4"/>
      <c r="C95" s="4"/>
      <c r="D95" s="25"/>
      <c r="E95" s="4"/>
      <c r="F95" s="4"/>
      <c r="G95" s="4"/>
    </row>
    <row r="96" spans="1:7" x14ac:dyDescent="0.35">
      <c r="A96" s="2"/>
      <c r="B96" s="4"/>
      <c r="C96" s="4"/>
      <c r="D96" s="25"/>
      <c r="E96" s="4"/>
      <c r="F96" s="4"/>
      <c r="G96" s="4"/>
    </row>
    <row r="97" spans="1:7" x14ac:dyDescent="0.35">
      <c r="A97" s="2"/>
      <c r="B97" s="4"/>
      <c r="C97" s="4"/>
      <c r="D97" s="25"/>
      <c r="E97" s="4"/>
      <c r="F97" s="4"/>
      <c r="G97" s="4"/>
    </row>
    <row r="98" spans="1:7" x14ac:dyDescent="0.35">
      <c r="A98" s="2"/>
      <c r="B98" s="4"/>
      <c r="C98" s="4"/>
      <c r="D98" s="25"/>
      <c r="E98" s="4"/>
      <c r="F98" s="4"/>
      <c r="G98" s="4"/>
    </row>
    <row r="99" spans="1:7" x14ac:dyDescent="0.35">
      <c r="A99" s="2"/>
      <c r="B99" s="4"/>
      <c r="C99" s="4"/>
      <c r="D99" s="25"/>
      <c r="E99" s="4"/>
      <c r="F99" s="4"/>
      <c r="G99" s="4"/>
    </row>
    <row r="100" spans="1:7" x14ac:dyDescent="0.35">
      <c r="A100" s="2"/>
      <c r="B100" s="4"/>
      <c r="C100" s="4"/>
      <c r="D100" s="25"/>
      <c r="E100" s="4"/>
      <c r="F100" s="4"/>
      <c r="G100" s="4"/>
    </row>
    <row r="101" spans="1:7" x14ac:dyDescent="0.35">
      <c r="A101" s="2"/>
      <c r="B101" s="4"/>
      <c r="C101" s="4"/>
      <c r="D101" s="25"/>
      <c r="E101" s="4"/>
      <c r="F101" s="4"/>
      <c r="G101" s="4"/>
    </row>
    <row r="102" spans="1:7" x14ac:dyDescent="0.35">
      <c r="A102" s="2"/>
      <c r="B102" s="4"/>
      <c r="C102" s="4"/>
      <c r="D102" s="25"/>
      <c r="E102" s="4"/>
      <c r="F102" s="4"/>
      <c r="G102" s="4"/>
    </row>
    <row r="103" spans="1:7" x14ac:dyDescent="0.35">
      <c r="A103" s="2"/>
      <c r="B103" s="4"/>
      <c r="C103" s="4"/>
      <c r="D103" s="25"/>
      <c r="E103" s="4"/>
      <c r="F103" s="4"/>
      <c r="G103" s="4"/>
    </row>
    <row r="104" spans="1:7" x14ac:dyDescent="0.35">
      <c r="A104" s="2"/>
      <c r="B104" s="4"/>
      <c r="C104" s="4"/>
      <c r="D104" s="25"/>
      <c r="E104" s="4"/>
      <c r="F104" s="4"/>
      <c r="G104" s="4"/>
    </row>
    <row r="105" spans="1:7" x14ac:dyDescent="0.35">
      <c r="A105" s="2"/>
      <c r="B105" s="4"/>
      <c r="C105" s="4"/>
      <c r="D105" s="25"/>
      <c r="E105" s="4"/>
      <c r="F105" s="4"/>
      <c r="G105" s="4"/>
    </row>
    <row r="106" spans="1:7" x14ac:dyDescent="0.35">
      <c r="A106" s="2"/>
      <c r="B106" s="4"/>
      <c r="C106" s="4"/>
      <c r="D106" s="25"/>
      <c r="E106" s="4"/>
      <c r="F106" s="4"/>
      <c r="G106" s="4"/>
    </row>
    <row r="107" spans="1:7" x14ac:dyDescent="0.35">
      <c r="A107" s="2"/>
      <c r="B107" s="4"/>
      <c r="C107" s="4"/>
      <c r="D107" s="25"/>
      <c r="E107" s="4"/>
      <c r="F107" s="4"/>
      <c r="G107" s="4"/>
    </row>
    <row r="108" spans="1:7" x14ac:dyDescent="0.35">
      <c r="A108" s="2"/>
      <c r="B108" s="4"/>
      <c r="C108" s="4"/>
      <c r="D108" s="25"/>
      <c r="E108" s="4"/>
      <c r="F108" s="4"/>
      <c r="G108" s="4"/>
    </row>
    <row r="109" spans="1:7" x14ac:dyDescent="0.35">
      <c r="A109" s="2"/>
      <c r="B109" s="4"/>
      <c r="C109" s="4"/>
      <c r="D109" s="25"/>
      <c r="E109" s="4"/>
      <c r="F109" s="4"/>
      <c r="G109" s="4"/>
    </row>
    <row r="110" spans="1:7" x14ac:dyDescent="0.35">
      <c r="A110" s="2"/>
      <c r="B110" s="4"/>
      <c r="C110" s="4"/>
      <c r="D110" s="25"/>
      <c r="E110" s="4"/>
      <c r="F110" s="4"/>
      <c r="G110" s="4"/>
    </row>
    <row r="111" spans="1:7" x14ac:dyDescent="0.35">
      <c r="B111" s="4"/>
      <c r="C111" s="4"/>
      <c r="D111" s="25"/>
      <c r="E111" s="4"/>
      <c r="F111" s="4"/>
      <c r="G111" s="4"/>
    </row>
    <row r="112" spans="1:7" x14ac:dyDescent="0.35">
      <c r="B112" s="4"/>
      <c r="C112" s="4"/>
      <c r="D112" s="25"/>
      <c r="E112" s="4"/>
      <c r="F112" s="4"/>
      <c r="G112" s="4"/>
    </row>
    <row r="113" spans="2:7" x14ac:dyDescent="0.35">
      <c r="B113" s="4"/>
      <c r="C113" s="4"/>
      <c r="D113" s="25"/>
      <c r="E113" s="4"/>
      <c r="F113" s="4"/>
      <c r="G113" s="4"/>
    </row>
    <row r="114" spans="2:7" x14ac:dyDescent="0.35">
      <c r="B114" s="4"/>
      <c r="C114" s="4"/>
      <c r="D114" s="25"/>
      <c r="E114" s="4"/>
      <c r="F114" s="4"/>
      <c r="G114" s="4"/>
    </row>
    <row r="115" spans="2:7" x14ac:dyDescent="0.35">
      <c r="B115" s="4"/>
      <c r="C115" s="4"/>
      <c r="D115" s="25"/>
      <c r="E115" s="4"/>
      <c r="F115" s="4"/>
      <c r="G115" s="4"/>
    </row>
    <row r="116" spans="2:7" x14ac:dyDescent="0.35">
      <c r="B116" s="4"/>
      <c r="C116" s="4"/>
      <c r="D116" s="25"/>
      <c r="E116" s="4"/>
      <c r="F116" s="4"/>
      <c r="G116" s="4"/>
    </row>
    <row r="117" spans="2:7" x14ac:dyDescent="0.35">
      <c r="B117" s="4"/>
      <c r="C117" s="4"/>
      <c r="D117" s="25"/>
      <c r="E117" s="4"/>
      <c r="F117" s="4"/>
      <c r="G117" s="4"/>
    </row>
    <row r="118" spans="2:7" x14ac:dyDescent="0.35">
      <c r="B118" s="4"/>
      <c r="C118" s="4"/>
      <c r="D118" s="25"/>
      <c r="E118" s="4"/>
      <c r="F118" s="4"/>
      <c r="G118" s="4"/>
    </row>
    <row r="119" spans="2:7" x14ac:dyDescent="0.35">
      <c r="B119" s="4"/>
      <c r="C119" s="4"/>
      <c r="D119" s="25"/>
      <c r="E119" s="4"/>
      <c r="F119" s="4"/>
      <c r="G119" s="4"/>
    </row>
    <row r="120" spans="2:7" x14ac:dyDescent="0.35">
      <c r="B120" s="4"/>
      <c r="C120" s="4"/>
      <c r="D120" s="25"/>
      <c r="E120" s="4"/>
      <c r="F120" s="4"/>
      <c r="G120" s="4"/>
    </row>
    <row r="121" spans="2:7" x14ac:dyDescent="0.35">
      <c r="B121" s="4"/>
      <c r="C121" s="4"/>
      <c r="D121" s="25"/>
      <c r="E121" s="4"/>
      <c r="F121" s="4"/>
      <c r="G121" s="4"/>
    </row>
    <row r="122" spans="2:7" x14ac:dyDescent="0.35">
      <c r="B122" s="4"/>
      <c r="C122" s="4"/>
      <c r="D122" s="25"/>
      <c r="E122" s="4"/>
      <c r="F122" s="4"/>
      <c r="G122" s="4"/>
    </row>
    <row r="123" spans="2:7" x14ac:dyDescent="0.35">
      <c r="B123" s="4"/>
      <c r="C123" s="4"/>
      <c r="D123" s="25"/>
      <c r="E123" s="4"/>
      <c r="F123" s="4"/>
      <c r="G123" s="4"/>
    </row>
    <row r="124" spans="2:7" x14ac:dyDescent="0.35">
      <c r="B124" s="4"/>
      <c r="C124" s="4"/>
      <c r="D124" s="25"/>
      <c r="E124" s="4"/>
      <c r="F124" s="4"/>
      <c r="G124" s="4"/>
    </row>
    <row r="125" spans="2:7" x14ac:dyDescent="0.35">
      <c r="B125" s="4"/>
      <c r="C125" s="4"/>
      <c r="D125" s="25"/>
      <c r="E125" s="4"/>
      <c r="F125" s="4"/>
      <c r="G125" s="4"/>
    </row>
    <row r="126" spans="2:7" x14ac:dyDescent="0.35">
      <c r="B126" s="4"/>
      <c r="C126" s="4"/>
      <c r="D126" s="25"/>
      <c r="E126" s="4"/>
      <c r="F126" s="4"/>
      <c r="G126" s="4"/>
    </row>
    <row r="127" spans="2:7" x14ac:dyDescent="0.35">
      <c r="B127" s="4"/>
      <c r="C127" s="4"/>
      <c r="D127" s="25"/>
      <c r="E127" s="4"/>
      <c r="F127" s="4"/>
      <c r="G127" s="4"/>
    </row>
    <row r="128" spans="2:7" x14ac:dyDescent="0.35">
      <c r="B128" s="4"/>
      <c r="C128" s="4"/>
      <c r="D128" s="25"/>
      <c r="E128" s="4"/>
      <c r="F128" s="4"/>
      <c r="G128" s="4"/>
    </row>
    <row r="129" spans="2:7" x14ac:dyDescent="0.35">
      <c r="B129" s="4"/>
      <c r="C129" s="4"/>
      <c r="D129" s="25"/>
      <c r="E129" s="4"/>
      <c r="F129" s="4"/>
      <c r="G129" s="4"/>
    </row>
    <row r="130" spans="2:7" x14ac:dyDescent="0.35">
      <c r="B130" s="4"/>
      <c r="C130" s="4"/>
      <c r="D130" s="25"/>
      <c r="E130" s="4"/>
      <c r="F130" s="4"/>
      <c r="G130" s="4"/>
    </row>
    <row r="131" spans="2:7" x14ac:dyDescent="0.35">
      <c r="B131" s="4"/>
      <c r="C131" s="4"/>
      <c r="D131" s="25"/>
      <c r="E131" s="4"/>
      <c r="F131" s="4"/>
      <c r="G131" s="4"/>
    </row>
    <row r="132" spans="2:7" x14ac:dyDescent="0.35">
      <c r="B132" s="4"/>
      <c r="C132" s="4"/>
      <c r="D132" s="25"/>
      <c r="E132" s="4"/>
      <c r="F132" s="4"/>
      <c r="G132" s="4"/>
    </row>
    <row r="133" spans="2:7" x14ac:dyDescent="0.35">
      <c r="B133" s="4"/>
      <c r="C133" s="4"/>
      <c r="D133" s="25"/>
      <c r="E133" s="4"/>
      <c r="F133" s="4"/>
      <c r="G133" s="4"/>
    </row>
    <row r="134" spans="2:7" x14ac:dyDescent="0.35">
      <c r="B134" s="4"/>
      <c r="C134" s="4"/>
      <c r="D134" s="25"/>
      <c r="E134" s="4"/>
      <c r="F134" s="4"/>
      <c r="G134" s="4"/>
    </row>
    <row r="135" spans="2:7" x14ac:dyDescent="0.35">
      <c r="B135" s="4"/>
      <c r="C135" s="4"/>
      <c r="D135" s="25"/>
      <c r="E135" s="4"/>
      <c r="F135" s="4"/>
      <c r="G135" s="4"/>
    </row>
    <row r="136" spans="2:7" x14ac:dyDescent="0.35">
      <c r="B136" s="4"/>
      <c r="C136" s="4"/>
      <c r="D136" s="25"/>
      <c r="E136" s="4"/>
      <c r="F136" s="4"/>
      <c r="G136" s="4"/>
    </row>
    <row r="137" spans="2:7" x14ac:dyDescent="0.35">
      <c r="B137" s="4"/>
      <c r="C137" s="4"/>
      <c r="D137" s="25"/>
      <c r="E137" s="4"/>
      <c r="F137" s="4"/>
      <c r="G137" s="4"/>
    </row>
    <row r="138" spans="2:7" x14ac:dyDescent="0.35">
      <c r="B138" s="4"/>
      <c r="C138" s="4"/>
      <c r="D138" s="25"/>
      <c r="E138" s="4"/>
      <c r="F138" s="4"/>
      <c r="G138" s="4"/>
    </row>
    <row r="139" spans="2:7" x14ac:dyDescent="0.35">
      <c r="B139" s="4"/>
      <c r="C139" s="4"/>
      <c r="D139" s="25"/>
      <c r="E139" s="4"/>
      <c r="F139" s="4"/>
      <c r="G139" s="4"/>
    </row>
    <row r="140" spans="2:7" x14ac:dyDescent="0.35">
      <c r="B140" s="4"/>
      <c r="C140" s="4"/>
      <c r="D140" s="25"/>
      <c r="E140" s="4"/>
      <c r="F140" s="4"/>
      <c r="G140" s="4"/>
    </row>
    <row r="141" spans="2:7" x14ac:dyDescent="0.35">
      <c r="B141" s="4"/>
      <c r="C141" s="4"/>
      <c r="D141" s="25"/>
      <c r="E141" s="4"/>
      <c r="F141" s="4"/>
      <c r="G141" s="4"/>
    </row>
    <row r="142" spans="2:7" x14ac:dyDescent="0.35">
      <c r="B142" s="4"/>
      <c r="C142" s="4"/>
      <c r="D142" s="25"/>
      <c r="E142" s="4"/>
      <c r="F142" s="4"/>
      <c r="G142" s="4"/>
    </row>
    <row r="143" spans="2:7" x14ac:dyDescent="0.35">
      <c r="B143" s="4"/>
      <c r="C143" s="4"/>
      <c r="D143" s="25"/>
      <c r="E143" s="4"/>
      <c r="F143" s="4"/>
      <c r="G143" s="4"/>
    </row>
    <row r="144" spans="2:7" x14ac:dyDescent="0.35">
      <c r="B144" s="4"/>
      <c r="C144" s="4"/>
      <c r="D144" s="25"/>
      <c r="E144" s="4"/>
      <c r="F144" s="4"/>
      <c r="G144" s="4"/>
    </row>
    <row r="145" spans="2:7" x14ac:dyDescent="0.35">
      <c r="B145" s="4"/>
      <c r="C145" s="4"/>
      <c r="D145" s="25"/>
      <c r="E145" s="4"/>
      <c r="F145" s="4"/>
      <c r="G145" s="4"/>
    </row>
    <row r="146" spans="2:7" x14ac:dyDescent="0.35">
      <c r="B146" s="4"/>
      <c r="C146" s="4"/>
      <c r="D146" s="25"/>
      <c r="E146" s="4"/>
      <c r="F146" s="4"/>
      <c r="G146" s="4"/>
    </row>
    <row r="147" spans="2:7" x14ac:dyDescent="0.35">
      <c r="B147" s="4"/>
      <c r="C147" s="4"/>
      <c r="D147" s="25"/>
      <c r="E147" s="4"/>
      <c r="F147" s="4"/>
      <c r="G147" s="4"/>
    </row>
    <row r="148" spans="2:7" x14ac:dyDescent="0.35">
      <c r="B148" s="4"/>
      <c r="C148" s="4"/>
      <c r="D148" s="25"/>
      <c r="E148" s="4"/>
      <c r="F148" s="4"/>
      <c r="G148" s="4"/>
    </row>
    <row r="149" spans="2:7" x14ac:dyDescent="0.35">
      <c r="B149" s="4"/>
      <c r="C149" s="4"/>
      <c r="D149" s="25"/>
      <c r="E149" s="4"/>
      <c r="F149" s="4"/>
      <c r="G149" s="4"/>
    </row>
    <row r="150" spans="2:7" x14ac:dyDescent="0.35">
      <c r="B150" s="4"/>
      <c r="C150" s="4"/>
      <c r="D150" s="25"/>
      <c r="E150" s="4"/>
      <c r="F150" s="4"/>
      <c r="G150" s="4"/>
    </row>
    <row r="151" spans="2:7" x14ac:dyDescent="0.35">
      <c r="B151" s="4"/>
      <c r="C151" s="4"/>
      <c r="D151" s="25"/>
      <c r="E151" s="4"/>
      <c r="F151" s="4"/>
      <c r="G151" s="4"/>
    </row>
    <row r="152" spans="2:7" x14ac:dyDescent="0.35">
      <c r="B152" s="4"/>
      <c r="C152" s="4"/>
      <c r="D152" s="25"/>
      <c r="E152" s="4"/>
      <c r="F152" s="4"/>
      <c r="G152" s="4"/>
    </row>
    <row r="153" spans="2:7" x14ac:dyDescent="0.35">
      <c r="B153" s="4"/>
      <c r="C153" s="4"/>
      <c r="D153" s="25"/>
      <c r="E153" s="4"/>
      <c r="F153" s="4"/>
      <c r="G153" s="4"/>
    </row>
    <row r="154" spans="2:7" x14ac:dyDescent="0.35">
      <c r="B154" s="4"/>
      <c r="C154" s="4"/>
      <c r="D154" s="25"/>
      <c r="E154" s="4"/>
      <c r="F154" s="4"/>
      <c r="G154" s="4"/>
    </row>
    <row r="155" spans="2:7" x14ac:dyDescent="0.35">
      <c r="B155" s="4"/>
      <c r="C155" s="4"/>
      <c r="D155" s="25"/>
      <c r="E155" s="4"/>
      <c r="F155" s="4"/>
      <c r="G155" s="4"/>
    </row>
    <row r="156" spans="2:7" x14ac:dyDescent="0.35">
      <c r="B156" s="4"/>
      <c r="C156" s="4"/>
      <c r="D156" s="25"/>
      <c r="E156" s="4"/>
      <c r="F156" s="4"/>
      <c r="G156" s="4"/>
    </row>
    <row r="157" spans="2:7" x14ac:dyDescent="0.35">
      <c r="B157" s="4"/>
      <c r="C157" s="4"/>
      <c r="D157" s="25"/>
      <c r="E157" s="4"/>
      <c r="F157" s="4"/>
      <c r="G157" s="4"/>
    </row>
    <row r="158" spans="2:7" x14ac:dyDescent="0.35">
      <c r="B158" s="4"/>
      <c r="C158" s="4"/>
      <c r="D158" s="25"/>
      <c r="E158" s="4"/>
      <c r="F158" s="4"/>
      <c r="G158" s="4"/>
    </row>
    <row r="159" spans="2:7" x14ac:dyDescent="0.35">
      <c r="B159" s="4"/>
      <c r="C159" s="4"/>
      <c r="D159" s="25"/>
      <c r="E159" s="4"/>
      <c r="F159" s="4"/>
      <c r="G159" s="4"/>
    </row>
    <row r="160" spans="2:7" x14ac:dyDescent="0.35">
      <c r="B160" s="4"/>
      <c r="C160" s="4"/>
      <c r="D160" s="25"/>
      <c r="E160" s="4"/>
      <c r="F160" s="4"/>
      <c r="G160" s="4"/>
    </row>
    <row r="161" spans="2:7" x14ac:dyDescent="0.35">
      <c r="B161" s="4"/>
      <c r="C161" s="4"/>
      <c r="D161" s="25"/>
      <c r="E161" s="4"/>
      <c r="F161" s="4"/>
      <c r="G161" s="4"/>
    </row>
    <row r="162" spans="2:7" x14ac:dyDescent="0.35">
      <c r="B162" s="4"/>
      <c r="C162" s="4"/>
      <c r="D162" s="25"/>
      <c r="E162" s="4"/>
      <c r="F162" s="4"/>
      <c r="G162" s="4"/>
    </row>
    <row r="163" spans="2:7" x14ac:dyDescent="0.35">
      <c r="B163" s="4"/>
      <c r="C163" s="4"/>
      <c r="D163" s="25"/>
      <c r="E163" s="4"/>
      <c r="F163" s="4"/>
      <c r="G163" s="4"/>
    </row>
    <row r="164" spans="2:7" x14ac:dyDescent="0.35">
      <c r="B164" s="4"/>
      <c r="C164" s="4"/>
      <c r="D164" s="25"/>
      <c r="E164" s="4"/>
      <c r="F164" s="4"/>
      <c r="G164" s="4"/>
    </row>
    <row r="165" spans="2:7" x14ac:dyDescent="0.35">
      <c r="B165" s="4"/>
      <c r="C165" s="4"/>
      <c r="D165" s="25"/>
      <c r="E165" s="4"/>
      <c r="F165" s="4"/>
      <c r="G165" s="4"/>
    </row>
    <row r="166" spans="2:7" x14ac:dyDescent="0.35">
      <c r="B166" s="4"/>
      <c r="C166" s="4"/>
      <c r="D166" s="25"/>
      <c r="E166" s="4"/>
      <c r="F166" s="4"/>
      <c r="G166" s="4"/>
    </row>
    <row r="167" spans="2:7" x14ac:dyDescent="0.35">
      <c r="B167" s="4"/>
      <c r="C167" s="4"/>
      <c r="D167" s="25"/>
      <c r="E167" s="4"/>
      <c r="F167" s="4"/>
      <c r="G167" s="4"/>
    </row>
    <row r="168" spans="2:7" x14ac:dyDescent="0.35">
      <c r="B168" s="4"/>
      <c r="C168" s="4"/>
      <c r="D168" s="25"/>
      <c r="E168" s="4"/>
      <c r="F168" s="4"/>
      <c r="G168" s="4"/>
    </row>
    <row r="169" spans="2:7" x14ac:dyDescent="0.35">
      <c r="B169" s="4"/>
      <c r="C169" s="4"/>
      <c r="D169" s="25"/>
      <c r="E169" s="4"/>
      <c r="F169" s="4"/>
      <c r="G169" s="4"/>
    </row>
    <row r="170" spans="2:7" x14ac:dyDescent="0.35">
      <c r="B170" s="4"/>
      <c r="C170" s="4"/>
      <c r="D170" s="25"/>
      <c r="E170" s="4"/>
      <c r="F170" s="4"/>
      <c r="G170" s="4"/>
    </row>
    <row r="171" spans="2:7" x14ac:dyDescent="0.35">
      <c r="B171" s="4"/>
      <c r="C171" s="4"/>
      <c r="D171" s="25"/>
      <c r="E171" s="4"/>
      <c r="F171" s="4"/>
      <c r="G171" s="4"/>
    </row>
    <row r="172" spans="2:7" x14ac:dyDescent="0.35">
      <c r="B172" s="4"/>
      <c r="C172" s="4"/>
      <c r="D172" s="25"/>
      <c r="E172" s="4"/>
      <c r="F172" s="4"/>
      <c r="G172" s="4"/>
    </row>
    <row r="173" spans="2:7" x14ac:dyDescent="0.35">
      <c r="B173" s="4"/>
      <c r="C173" s="4"/>
      <c r="D173" s="25"/>
      <c r="E173" s="4"/>
      <c r="F173" s="4"/>
      <c r="G173" s="4"/>
    </row>
    <row r="174" spans="2:7" x14ac:dyDescent="0.35">
      <c r="B174" s="4"/>
      <c r="C174" s="4"/>
      <c r="D174" s="25"/>
      <c r="E174" s="4"/>
      <c r="F174" s="4"/>
      <c r="G174" s="4"/>
    </row>
    <row r="175" spans="2:7" x14ac:dyDescent="0.35">
      <c r="B175" s="4"/>
      <c r="C175" s="4"/>
      <c r="D175" s="25"/>
      <c r="E175" s="4"/>
      <c r="F175" s="4"/>
      <c r="G175" s="4"/>
    </row>
    <row r="176" spans="2:7" x14ac:dyDescent="0.35">
      <c r="B176" s="4"/>
      <c r="C176" s="4"/>
      <c r="D176" s="25"/>
      <c r="E176" s="4"/>
      <c r="F176" s="4"/>
      <c r="G176" s="4"/>
    </row>
    <row r="177" spans="2:7" x14ac:dyDescent="0.35">
      <c r="B177" s="4"/>
      <c r="C177" s="4"/>
      <c r="D177" s="25"/>
      <c r="E177" s="4"/>
      <c r="F177" s="4"/>
      <c r="G177" s="4"/>
    </row>
    <row r="178" spans="2:7" x14ac:dyDescent="0.35">
      <c r="B178" s="4"/>
      <c r="C178" s="4"/>
      <c r="D178" s="25"/>
      <c r="E178" s="4"/>
      <c r="F178" s="4"/>
      <c r="G178" s="4"/>
    </row>
    <row r="179" spans="2:7" x14ac:dyDescent="0.35">
      <c r="B179" s="4"/>
      <c r="C179" s="4"/>
      <c r="D179" s="25"/>
      <c r="E179" s="4"/>
      <c r="F179" s="4"/>
      <c r="G179" s="4"/>
    </row>
    <row r="180" spans="2:7" x14ac:dyDescent="0.35">
      <c r="B180" s="4"/>
      <c r="C180" s="4"/>
      <c r="D180" s="25"/>
      <c r="E180" s="4"/>
      <c r="F180" s="4"/>
      <c r="G180" s="4"/>
    </row>
    <row r="181" spans="2:7" x14ac:dyDescent="0.35">
      <c r="B181" s="4"/>
      <c r="C181" s="4"/>
      <c r="D181" s="25"/>
      <c r="E181" s="4"/>
      <c r="F181" s="4"/>
      <c r="G181" s="4"/>
    </row>
    <row r="182" spans="2:7" x14ac:dyDescent="0.35">
      <c r="B182" s="4"/>
      <c r="C182" s="4"/>
      <c r="D182" s="25"/>
      <c r="E182" s="4"/>
      <c r="F182" s="4"/>
      <c r="G182" s="4"/>
    </row>
    <row r="183" spans="2:7" x14ac:dyDescent="0.35">
      <c r="B183" s="4"/>
      <c r="C183" s="4"/>
      <c r="D183" s="25"/>
      <c r="E183" s="4"/>
      <c r="F183" s="4"/>
      <c r="G183" s="4"/>
    </row>
    <row r="184" spans="2:7" x14ac:dyDescent="0.35">
      <c r="B184" s="4"/>
      <c r="C184" s="4"/>
      <c r="D184" s="25"/>
      <c r="E184" s="4"/>
      <c r="F184" s="4"/>
      <c r="G184" s="4"/>
    </row>
    <row r="185" spans="2:7" x14ac:dyDescent="0.35">
      <c r="B185" s="4"/>
      <c r="C185" s="4"/>
      <c r="D185" s="25"/>
      <c r="E185" s="4"/>
      <c r="F185" s="4"/>
      <c r="G185" s="4"/>
    </row>
    <row r="186" spans="2:7" x14ac:dyDescent="0.35">
      <c r="B186" s="4"/>
      <c r="C186" s="4"/>
      <c r="D186" s="25"/>
      <c r="E186" s="4"/>
      <c r="F186" s="4"/>
      <c r="G186" s="4"/>
    </row>
    <row r="187" spans="2:7" x14ac:dyDescent="0.35">
      <c r="B187" s="4"/>
      <c r="C187" s="4"/>
      <c r="D187" s="25"/>
      <c r="E187" s="4"/>
      <c r="F187" s="4"/>
      <c r="G187" s="4"/>
    </row>
    <row r="188" spans="2:7" x14ac:dyDescent="0.35">
      <c r="B188" s="4"/>
      <c r="C188" s="4"/>
      <c r="D188" s="25"/>
      <c r="E188" s="4"/>
      <c r="F188" s="4"/>
      <c r="G188" s="4"/>
    </row>
    <row r="189" spans="2:7" x14ac:dyDescent="0.35">
      <c r="B189" s="4"/>
      <c r="C189" s="4"/>
      <c r="D189" s="25"/>
      <c r="E189" s="4"/>
      <c r="F189" s="4"/>
      <c r="G189" s="4"/>
    </row>
    <row r="190" spans="2:7" x14ac:dyDescent="0.35">
      <c r="B190" s="4"/>
      <c r="C190" s="4"/>
      <c r="D190" s="25"/>
      <c r="E190" s="4"/>
      <c r="F190" s="4"/>
      <c r="G190" s="4"/>
    </row>
    <row r="191" spans="2:7" x14ac:dyDescent="0.35">
      <c r="B191" s="4"/>
      <c r="C191" s="4"/>
      <c r="D191" s="25"/>
      <c r="E191" s="4"/>
      <c r="F191" s="4"/>
      <c r="G191" s="4"/>
    </row>
    <row r="192" spans="2:7" x14ac:dyDescent="0.35">
      <c r="B192" s="4"/>
      <c r="C192" s="4"/>
      <c r="D192" s="25"/>
      <c r="E192" s="4"/>
      <c r="F192" s="4"/>
      <c r="G192" s="4"/>
    </row>
    <row r="193" spans="2:7" x14ac:dyDescent="0.35">
      <c r="B193" s="4"/>
      <c r="C193" s="4"/>
      <c r="D193" s="25"/>
      <c r="E193" s="4"/>
      <c r="F193" s="4"/>
      <c r="G193" s="4"/>
    </row>
    <row r="194" spans="2:7" x14ac:dyDescent="0.35">
      <c r="B194" s="4"/>
      <c r="C194" s="4"/>
      <c r="D194" s="25"/>
      <c r="E194" s="4"/>
      <c r="F194" s="4"/>
      <c r="G194" s="4"/>
    </row>
    <row r="195" spans="2:7" x14ac:dyDescent="0.35">
      <c r="B195" s="4"/>
      <c r="C195" s="4"/>
      <c r="D195" s="25"/>
      <c r="E195" s="4"/>
      <c r="F195" s="4"/>
      <c r="G195" s="4"/>
    </row>
    <row r="196" spans="2:7" x14ac:dyDescent="0.35">
      <c r="B196" s="4"/>
      <c r="C196" s="4"/>
      <c r="D196" s="25"/>
      <c r="E196" s="4"/>
      <c r="F196" s="4"/>
      <c r="G196" s="4"/>
    </row>
    <row r="197" spans="2:7" x14ac:dyDescent="0.35">
      <c r="B197" s="4"/>
      <c r="C197" s="4"/>
      <c r="D197" s="25"/>
      <c r="E197" s="4"/>
      <c r="F197" s="4"/>
      <c r="G197" s="4"/>
    </row>
    <row r="198" spans="2:7" x14ac:dyDescent="0.35">
      <c r="B198" s="4"/>
      <c r="C198" s="4"/>
      <c r="D198" s="25"/>
      <c r="E198" s="4"/>
      <c r="F198" s="4"/>
      <c r="G198" s="4"/>
    </row>
    <row r="199" spans="2:7" x14ac:dyDescent="0.35">
      <c r="B199" s="4"/>
      <c r="C199" s="4"/>
      <c r="D199" s="25"/>
      <c r="E199" s="4"/>
      <c r="F199" s="4"/>
      <c r="G199" s="4"/>
    </row>
    <row r="200" spans="2:7" x14ac:dyDescent="0.35">
      <c r="B200" s="4"/>
      <c r="C200" s="4"/>
      <c r="D200" s="25"/>
      <c r="E200" s="4"/>
      <c r="F200" s="4"/>
      <c r="G200" s="4"/>
    </row>
    <row r="201" spans="2:7" x14ac:dyDescent="0.35">
      <c r="B201" s="4"/>
      <c r="C201" s="4"/>
      <c r="D201" s="25"/>
      <c r="E201" s="4"/>
      <c r="F201" s="4"/>
      <c r="G201" s="4"/>
    </row>
    <row r="202" spans="2:7" x14ac:dyDescent="0.35">
      <c r="F202" s="4"/>
      <c r="G202" s="4"/>
    </row>
    <row r="203" spans="2:7" x14ac:dyDescent="0.35">
      <c r="F203" s="4"/>
      <c r="G203" s="4"/>
    </row>
    <row r="204" spans="2:7" x14ac:dyDescent="0.35">
      <c r="F204" s="4"/>
      <c r="G204" s="4"/>
    </row>
    <row r="205" spans="2:7" x14ac:dyDescent="0.35">
      <c r="F205" s="4"/>
      <c r="G205" s="4"/>
    </row>
    <row r="206" spans="2:7" x14ac:dyDescent="0.35">
      <c r="F206" s="4"/>
      <c r="G206" s="4"/>
    </row>
    <row r="207" spans="2:7" x14ac:dyDescent="0.35">
      <c r="F207" s="4"/>
      <c r="G207" s="4"/>
    </row>
    <row r="208" spans="2:7" x14ac:dyDescent="0.35">
      <c r="F208" s="4"/>
      <c r="G208" s="4"/>
    </row>
    <row r="209" spans="6:7" x14ac:dyDescent="0.35">
      <c r="F209" s="4"/>
      <c r="G209" s="4"/>
    </row>
    <row r="210" spans="6:7" x14ac:dyDescent="0.35">
      <c r="F210" s="4"/>
      <c r="G210" s="4"/>
    </row>
    <row r="211" spans="6:7" x14ac:dyDescent="0.35">
      <c r="F211" s="4"/>
      <c r="G211" s="4"/>
    </row>
    <row r="212" spans="6:7" x14ac:dyDescent="0.35">
      <c r="F212" s="4"/>
      <c r="G212" s="4"/>
    </row>
    <row r="213" spans="6:7" x14ac:dyDescent="0.35">
      <c r="F213" s="4"/>
      <c r="G213" s="4"/>
    </row>
    <row r="214" spans="6:7" x14ac:dyDescent="0.35">
      <c r="F214" s="4"/>
      <c r="G214" s="4"/>
    </row>
    <row r="215" spans="6:7" x14ac:dyDescent="0.35">
      <c r="F215" s="4"/>
      <c r="G215" s="4"/>
    </row>
    <row r="216" spans="6:7" x14ac:dyDescent="0.35">
      <c r="F216" s="4"/>
      <c r="G216" s="4"/>
    </row>
    <row r="217" spans="6:7" x14ac:dyDescent="0.35">
      <c r="F217" s="4"/>
      <c r="G217" s="4"/>
    </row>
    <row r="218" spans="6:7" x14ac:dyDescent="0.35">
      <c r="F218" s="4"/>
      <c r="G218" s="4"/>
    </row>
    <row r="219" spans="6:7" x14ac:dyDescent="0.35">
      <c r="F219" s="4"/>
      <c r="G219" s="4"/>
    </row>
    <row r="220" spans="6:7" x14ac:dyDescent="0.35">
      <c r="F220" s="4"/>
      <c r="G220" s="4"/>
    </row>
    <row r="221" spans="6:7" x14ac:dyDescent="0.35">
      <c r="F221" s="4"/>
      <c r="G221" s="4"/>
    </row>
    <row r="222" spans="6:7" x14ac:dyDescent="0.35">
      <c r="F222" s="4"/>
      <c r="G222" s="4"/>
    </row>
    <row r="223" spans="6:7" x14ac:dyDescent="0.35">
      <c r="F223" s="4"/>
      <c r="G223" s="4"/>
    </row>
    <row r="224" spans="6:7" x14ac:dyDescent="0.35">
      <c r="F224" s="4"/>
      <c r="G224" s="4"/>
    </row>
    <row r="225" spans="6:7" x14ac:dyDescent="0.35">
      <c r="F225" s="4"/>
      <c r="G225" s="4"/>
    </row>
    <row r="226" spans="6:7" x14ac:dyDescent="0.35">
      <c r="F226" s="4"/>
      <c r="G226" s="4"/>
    </row>
    <row r="227" spans="6:7" x14ac:dyDescent="0.35">
      <c r="F227" s="4"/>
      <c r="G227" s="4"/>
    </row>
    <row r="228" spans="6:7" x14ac:dyDescent="0.35">
      <c r="F228" s="4"/>
      <c r="G228" s="4"/>
    </row>
    <row r="229" spans="6:7" x14ac:dyDescent="0.35">
      <c r="F229" s="4"/>
      <c r="G229" s="4"/>
    </row>
    <row r="230" spans="6:7" x14ac:dyDescent="0.35">
      <c r="F230" s="4"/>
      <c r="G230" s="4"/>
    </row>
    <row r="231" spans="6:7" x14ac:dyDescent="0.35">
      <c r="F231" s="4"/>
      <c r="G231" s="4"/>
    </row>
    <row r="232" spans="6:7" x14ac:dyDescent="0.35">
      <c r="F232" s="4"/>
      <c r="G232" s="4"/>
    </row>
    <row r="233" spans="6:7" x14ac:dyDescent="0.35">
      <c r="F233" s="4"/>
      <c r="G233" s="4"/>
    </row>
    <row r="234" spans="6:7" x14ac:dyDescent="0.35">
      <c r="F234" s="4"/>
      <c r="G234" s="4"/>
    </row>
    <row r="235" spans="6:7" x14ac:dyDescent="0.35">
      <c r="F235" s="4"/>
      <c r="G235" s="4"/>
    </row>
    <row r="236" spans="6:7" x14ac:dyDescent="0.35">
      <c r="F236" s="4"/>
      <c r="G236" s="4"/>
    </row>
    <row r="237" spans="6:7" x14ac:dyDescent="0.35">
      <c r="F237" s="4"/>
      <c r="G237" s="4"/>
    </row>
    <row r="238" spans="6:7" x14ac:dyDescent="0.35">
      <c r="F238" s="4"/>
      <c r="G238" s="4"/>
    </row>
    <row r="239" spans="6:7" x14ac:dyDescent="0.35">
      <c r="F239" s="4"/>
      <c r="G239" s="4"/>
    </row>
    <row r="240" spans="6:7" x14ac:dyDescent="0.35">
      <c r="F240" s="4"/>
      <c r="G240" s="4"/>
    </row>
    <row r="241" spans="6:7" x14ac:dyDescent="0.35">
      <c r="F241" s="4"/>
      <c r="G241" s="4"/>
    </row>
    <row r="242" spans="6:7" x14ac:dyDescent="0.35">
      <c r="F242" s="4"/>
      <c r="G242" s="4"/>
    </row>
    <row r="243" spans="6:7" x14ac:dyDescent="0.35">
      <c r="F243" s="4"/>
      <c r="G243" s="4"/>
    </row>
    <row r="244" spans="6:7" x14ac:dyDescent="0.35">
      <c r="F244" s="4"/>
      <c r="G244" s="4"/>
    </row>
    <row r="245" spans="6:7" x14ac:dyDescent="0.35">
      <c r="F245" s="4"/>
      <c r="G245" s="4"/>
    </row>
    <row r="246" spans="6:7" x14ac:dyDescent="0.35">
      <c r="F246" s="4"/>
    </row>
    <row r="247" spans="6:7" x14ac:dyDescent="0.35">
      <c r="F247" s="4"/>
    </row>
    <row r="248" spans="6:7" x14ac:dyDescent="0.35">
      <c r="F248" s="4"/>
    </row>
    <row r="249" spans="6:7" x14ac:dyDescent="0.35">
      <c r="F249" s="4"/>
    </row>
    <row r="250" spans="6:7" x14ac:dyDescent="0.35">
      <c r="F250" s="4"/>
    </row>
    <row r="251" spans="6:7" x14ac:dyDescent="0.35">
      <c r="F251" s="4"/>
    </row>
    <row r="252" spans="6:7" x14ac:dyDescent="0.35">
      <c r="F252" s="4"/>
    </row>
    <row r="253" spans="6:7" x14ac:dyDescent="0.35">
      <c r="F253" s="4"/>
    </row>
    <row r="254" spans="6:7" x14ac:dyDescent="0.35">
      <c r="F254" s="4"/>
    </row>
    <row r="255" spans="6:7" x14ac:dyDescent="0.35">
      <c r="F255" s="4"/>
    </row>
    <row r="256" spans="6:7" x14ac:dyDescent="0.35">
      <c r="F256" s="4"/>
    </row>
    <row r="257" spans="6:6" x14ac:dyDescent="0.35">
      <c r="F257" s="4"/>
    </row>
    <row r="258" spans="6:6" x14ac:dyDescent="0.35">
      <c r="F258" s="4"/>
    </row>
    <row r="259" spans="6:6" x14ac:dyDescent="0.35">
      <c r="F259" s="4"/>
    </row>
    <row r="260" spans="6:6" x14ac:dyDescent="0.35">
      <c r="F260" s="4"/>
    </row>
    <row r="261" spans="6:6" x14ac:dyDescent="0.35">
      <c r="F261" s="4"/>
    </row>
    <row r="262" spans="6:6" x14ac:dyDescent="0.35">
      <c r="F262" s="4"/>
    </row>
    <row r="263" spans="6:6" x14ac:dyDescent="0.35">
      <c r="F263" s="4"/>
    </row>
    <row r="264" spans="6:6" x14ac:dyDescent="0.35">
      <c r="F264" s="4"/>
    </row>
    <row r="265" spans="6:6" x14ac:dyDescent="0.35">
      <c r="F265" s="4"/>
    </row>
    <row r="266" spans="6:6" x14ac:dyDescent="0.35">
      <c r="F266" s="4"/>
    </row>
    <row r="267" spans="6:6" x14ac:dyDescent="0.35">
      <c r="F267" s="4"/>
    </row>
    <row r="268" spans="6:6" x14ac:dyDescent="0.35">
      <c r="F268" s="4"/>
    </row>
    <row r="269" spans="6:6" x14ac:dyDescent="0.35">
      <c r="F269" s="4"/>
    </row>
    <row r="270" spans="6:6" x14ac:dyDescent="0.35">
      <c r="F270" s="4"/>
    </row>
    <row r="271" spans="6:6" x14ac:dyDescent="0.35">
      <c r="F271" s="4"/>
    </row>
    <row r="272" spans="6:6" x14ac:dyDescent="0.35">
      <c r="F272" s="4"/>
    </row>
    <row r="273" spans="6:6" x14ac:dyDescent="0.35">
      <c r="F273" s="4"/>
    </row>
    <row r="274" spans="6:6" x14ac:dyDescent="0.35">
      <c r="F274" s="4"/>
    </row>
    <row r="275" spans="6:6" x14ac:dyDescent="0.35">
      <c r="F275" s="4"/>
    </row>
    <row r="276" spans="6:6" x14ac:dyDescent="0.35">
      <c r="F276" s="4"/>
    </row>
    <row r="277" spans="6:6" x14ac:dyDescent="0.35">
      <c r="F277" s="4"/>
    </row>
    <row r="278" spans="6:6" x14ac:dyDescent="0.35">
      <c r="F278" s="4"/>
    </row>
    <row r="279" spans="6:6" x14ac:dyDescent="0.35">
      <c r="F279" s="4"/>
    </row>
    <row r="280" spans="6:6" x14ac:dyDescent="0.35">
      <c r="F280" s="4"/>
    </row>
    <row r="281" spans="6:6" x14ac:dyDescent="0.35">
      <c r="F281" s="4"/>
    </row>
    <row r="282" spans="6:6" x14ac:dyDescent="0.35">
      <c r="F282" s="4"/>
    </row>
    <row r="283" spans="6:6" x14ac:dyDescent="0.35">
      <c r="F283" s="4"/>
    </row>
    <row r="284" spans="6:6" x14ac:dyDescent="0.35">
      <c r="F284" s="4"/>
    </row>
    <row r="285" spans="6:6" x14ac:dyDescent="0.35">
      <c r="F285" s="4"/>
    </row>
    <row r="286" spans="6:6" x14ac:dyDescent="0.35">
      <c r="F286" s="4"/>
    </row>
    <row r="287" spans="6:6" x14ac:dyDescent="0.35">
      <c r="F287" s="4"/>
    </row>
    <row r="288" spans="6:6" x14ac:dyDescent="0.35">
      <c r="F288" s="4"/>
    </row>
    <row r="289" spans="6:6" x14ac:dyDescent="0.35">
      <c r="F289" s="4"/>
    </row>
    <row r="290" spans="6:6" x14ac:dyDescent="0.35">
      <c r="F290" s="4"/>
    </row>
    <row r="291" spans="6:6" x14ac:dyDescent="0.35">
      <c r="F291" s="4"/>
    </row>
    <row r="292" spans="6:6" x14ac:dyDescent="0.35">
      <c r="F292" s="4"/>
    </row>
    <row r="293" spans="6:6" x14ac:dyDescent="0.35">
      <c r="F293" s="4"/>
    </row>
    <row r="294" spans="6:6" x14ac:dyDescent="0.35">
      <c r="F294" s="4"/>
    </row>
    <row r="295" spans="6:6" x14ac:dyDescent="0.35">
      <c r="F295" s="4"/>
    </row>
    <row r="296" spans="6:6" x14ac:dyDescent="0.35">
      <c r="F296" s="4"/>
    </row>
    <row r="297" spans="6:6" x14ac:dyDescent="0.35">
      <c r="F297" s="4"/>
    </row>
    <row r="298" spans="6:6" x14ac:dyDescent="0.35">
      <c r="F298" s="4"/>
    </row>
    <row r="299" spans="6:6" x14ac:dyDescent="0.35">
      <c r="F299" s="4"/>
    </row>
    <row r="300" spans="6:6" x14ac:dyDescent="0.35">
      <c r="F300" s="4"/>
    </row>
    <row r="301" spans="6:6" x14ac:dyDescent="0.35">
      <c r="F301" s="4"/>
    </row>
    <row r="302" spans="6:6" x14ac:dyDescent="0.35">
      <c r="F302" s="4"/>
    </row>
    <row r="303" spans="6:6" x14ac:dyDescent="0.35">
      <c r="F303" s="4"/>
    </row>
    <row r="304" spans="6:6" x14ac:dyDescent="0.35">
      <c r="F304" s="4"/>
    </row>
    <row r="305" spans="6:6" x14ac:dyDescent="0.35">
      <c r="F305" s="4"/>
    </row>
    <row r="306" spans="6:6" x14ac:dyDescent="0.35">
      <c r="F306" s="4"/>
    </row>
    <row r="307" spans="6:6" x14ac:dyDescent="0.35">
      <c r="F307" s="4"/>
    </row>
    <row r="308" spans="6:6" x14ac:dyDescent="0.35">
      <c r="F308" s="4"/>
    </row>
    <row r="309" spans="6:6" x14ac:dyDescent="0.35">
      <c r="F309" s="4"/>
    </row>
    <row r="310" spans="6:6" x14ac:dyDescent="0.35">
      <c r="F310" s="4"/>
    </row>
    <row r="311" spans="6:6" x14ac:dyDescent="0.35">
      <c r="F311" s="4"/>
    </row>
    <row r="312" spans="6:6" x14ac:dyDescent="0.35">
      <c r="F312" s="4"/>
    </row>
    <row r="313" spans="6:6" x14ac:dyDescent="0.35">
      <c r="F313" s="4"/>
    </row>
    <row r="314" spans="6:6" x14ac:dyDescent="0.35">
      <c r="F314" s="4"/>
    </row>
    <row r="315" spans="6:6" x14ac:dyDescent="0.35">
      <c r="F315" s="4"/>
    </row>
    <row r="316" spans="6:6" x14ac:dyDescent="0.35">
      <c r="F316" s="4"/>
    </row>
    <row r="317" spans="6:6" x14ac:dyDescent="0.35">
      <c r="F317" s="4"/>
    </row>
    <row r="318" spans="6:6" x14ac:dyDescent="0.35">
      <c r="F318" s="4"/>
    </row>
    <row r="319" spans="6:6" x14ac:dyDescent="0.35">
      <c r="F319" s="4"/>
    </row>
    <row r="320" spans="6:6" x14ac:dyDescent="0.35">
      <c r="F320" s="4"/>
    </row>
    <row r="321" spans="6:6" x14ac:dyDescent="0.35">
      <c r="F321" s="4"/>
    </row>
    <row r="322" spans="6:6" x14ac:dyDescent="0.35">
      <c r="F322" s="4"/>
    </row>
    <row r="323" spans="6:6" x14ac:dyDescent="0.35">
      <c r="F323" s="4"/>
    </row>
    <row r="324" spans="6:6" x14ac:dyDescent="0.35">
      <c r="F324" s="4"/>
    </row>
    <row r="325" spans="6:6" x14ac:dyDescent="0.35">
      <c r="F325" s="4"/>
    </row>
    <row r="326" spans="6:6" x14ac:dyDescent="0.35">
      <c r="F326" s="4"/>
    </row>
    <row r="327" spans="6:6" x14ac:dyDescent="0.35">
      <c r="F327" s="4"/>
    </row>
    <row r="328" spans="6:6" x14ac:dyDescent="0.35">
      <c r="F328" s="4"/>
    </row>
    <row r="329" spans="6:6" x14ac:dyDescent="0.35">
      <c r="F329" s="4"/>
    </row>
    <row r="330" spans="6:6" x14ac:dyDescent="0.35">
      <c r="F330" s="4"/>
    </row>
    <row r="331" spans="6:6" x14ac:dyDescent="0.35">
      <c r="F331" s="4"/>
    </row>
    <row r="332" spans="6:6" x14ac:dyDescent="0.35">
      <c r="F332" s="4"/>
    </row>
    <row r="333" spans="6:6" x14ac:dyDescent="0.35">
      <c r="F333" s="4"/>
    </row>
    <row r="334" spans="6:6" x14ac:dyDescent="0.35">
      <c r="F334" s="4"/>
    </row>
    <row r="335" spans="6:6" x14ac:dyDescent="0.35">
      <c r="F335" s="4"/>
    </row>
  </sheetData>
  <mergeCells count="1">
    <mergeCell ref="B2:D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1:E105"/>
  <sheetViews>
    <sheetView workbookViewId="0">
      <selection activeCell="G20" sqref="G20"/>
    </sheetView>
  </sheetViews>
  <sheetFormatPr baseColWidth="10" defaultRowHeight="14.5" x14ac:dyDescent="0.35"/>
  <cols>
    <col min="1" max="1" width="20.1796875" customWidth="1"/>
    <col min="5" max="5" width="11.453125" style="14"/>
  </cols>
  <sheetData>
    <row r="1" spans="2:5" ht="15" thickBot="1" x14ac:dyDescent="0.4">
      <c r="E1" s="1"/>
    </row>
    <row r="2" spans="2:5" ht="15" customHeight="1" x14ac:dyDescent="0.35">
      <c r="B2" s="36" t="s">
        <v>7</v>
      </c>
      <c r="C2" s="37"/>
      <c r="D2" s="37"/>
      <c r="E2" s="38"/>
    </row>
    <row r="3" spans="2:5" ht="15.75" customHeight="1" thickBot="1" x14ac:dyDescent="0.4">
      <c r="B3" s="39"/>
      <c r="C3" s="40"/>
      <c r="D3" s="40"/>
      <c r="E3" s="41"/>
    </row>
    <row r="4" spans="2:5" x14ac:dyDescent="0.35">
      <c r="E4" s="1"/>
    </row>
    <row r="5" spans="2:5" x14ac:dyDescent="0.35">
      <c r="E5" s="1"/>
    </row>
    <row r="6" spans="2:5" x14ac:dyDescent="0.35">
      <c r="E6" s="1"/>
    </row>
    <row r="7" spans="2:5" x14ac:dyDescent="0.35">
      <c r="B7" s="17" t="s">
        <v>1</v>
      </c>
      <c r="C7" s="16" t="s">
        <v>0</v>
      </c>
      <c r="D7" s="17" t="s">
        <v>2</v>
      </c>
      <c r="E7" s="15"/>
    </row>
    <row r="8" spans="2:5" x14ac:dyDescent="0.35">
      <c r="B8" s="7"/>
      <c r="C8" s="9"/>
      <c r="D8" s="9"/>
      <c r="E8" s="2"/>
    </row>
    <row r="9" spans="2:5" x14ac:dyDescent="0.35">
      <c r="B9" s="7"/>
      <c r="C9" s="9"/>
      <c r="D9" s="9"/>
      <c r="E9" s="2"/>
    </row>
    <row r="10" spans="2:5" x14ac:dyDescent="0.35">
      <c r="B10" s="7"/>
      <c r="C10" s="9"/>
      <c r="D10" s="9"/>
      <c r="E10" s="2"/>
    </row>
    <row r="11" spans="2:5" x14ac:dyDescent="0.35">
      <c r="B11" s="7"/>
      <c r="C11" s="9"/>
      <c r="D11" s="9"/>
      <c r="E11" s="2"/>
    </row>
    <row r="12" spans="2:5" x14ac:dyDescent="0.35">
      <c r="B12" s="7"/>
      <c r="C12" s="9"/>
      <c r="D12" s="9"/>
      <c r="E12" s="2"/>
    </row>
    <row r="13" spans="2:5" x14ac:dyDescent="0.35">
      <c r="B13" s="7"/>
      <c r="C13" s="9"/>
      <c r="D13" s="9"/>
      <c r="E13" s="2"/>
    </row>
    <row r="14" spans="2:5" ht="15.75" customHeight="1" x14ac:dyDescent="0.35">
      <c r="B14" s="7"/>
      <c r="C14" s="9"/>
      <c r="D14" s="9"/>
      <c r="E14" s="2"/>
    </row>
    <row r="15" spans="2:5" x14ac:dyDescent="0.35">
      <c r="B15" s="7"/>
      <c r="C15" s="9"/>
      <c r="D15" s="9"/>
      <c r="E15" s="2"/>
    </row>
    <row r="16" spans="2:5" x14ac:dyDescent="0.35">
      <c r="B16" s="7"/>
      <c r="C16" s="9"/>
      <c r="D16" s="9"/>
      <c r="E16" s="2"/>
    </row>
    <row r="17" spans="2:5" ht="15.75" customHeight="1" x14ac:dyDescent="0.35">
      <c r="B17" s="7"/>
      <c r="C17" s="9"/>
      <c r="D17" s="9"/>
      <c r="E17" s="2"/>
    </row>
    <row r="18" spans="2:5" ht="15.75" customHeight="1" x14ac:dyDescent="0.35">
      <c r="B18" s="7"/>
      <c r="C18" s="9"/>
      <c r="D18" s="9"/>
      <c r="E18" s="2"/>
    </row>
    <row r="19" spans="2:5" ht="15.75" customHeight="1" x14ac:dyDescent="0.35">
      <c r="B19" s="7"/>
      <c r="C19" s="9"/>
      <c r="D19" s="9"/>
      <c r="E19" s="2"/>
    </row>
    <row r="20" spans="2:5" x14ac:dyDescent="0.35">
      <c r="B20" s="7"/>
      <c r="C20" s="9"/>
      <c r="D20" s="9"/>
      <c r="E20" s="2"/>
    </row>
    <row r="21" spans="2:5" x14ac:dyDescent="0.35">
      <c r="B21" s="7"/>
      <c r="C21" s="9"/>
      <c r="D21" s="9"/>
      <c r="E21" s="2"/>
    </row>
    <row r="22" spans="2:5" x14ac:dyDescent="0.35">
      <c r="B22" s="7"/>
      <c r="C22" s="9"/>
      <c r="D22" s="9"/>
      <c r="E22" s="2"/>
    </row>
    <row r="23" spans="2:5" x14ac:dyDescent="0.35">
      <c r="B23" s="7"/>
      <c r="C23" s="9"/>
      <c r="D23" s="9"/>
      <c r="E23" s="2"/>
    </row>
    <row r="24" spans="2:5" x14ac:dyDescent="0.35">
      <c r="B24" s="7"/>
      <c r="C24" s="9"/>
      <c r="D24" s="9"/>
      <c r="E24" s="2"/>
    </row>
    <row r="25" spans="2:5" x14ac:dyDescent="0.35">
      <c r="B25" s="7"/>
      <c r="C25" s="9"/>
      <c r="D25" s="9"/>
      <c r="E25" s="2"/>
    </row>
    <row r="26" spans="2:5" x14ac:dyDescent="0.35">
      <c r="B26" s="7"/>
      <c r="C26" s="9"/>
      <c r="D26" s="9"/>
      <c r="E26" s="2"/>
    </row>
    <row r="27" spans="2:5" x14ac:dyDescent="0.35">
      <c r="B27" s="7"/>
      <c r="C27" s="9"/>
      <c r="D27" s="9"/>
      <c r="E27" s="2"/>
    </row>
    <row r="28" spans="2:5" x14ac:dyDescent="0.35">
      <c r="B28" s="7"/>
      <c r="C28" s="9"/>
      <c r="D28" s="9"/>
      <c r="E28" s="2"/>
    </row>
    <row r="29" spans="2:5" x14ac:dyDescent="0.35">
      <c r="B29" s="7"/>
      <c r="C29" s="9"/>
      <c r="D29" s="9"/>
      <c r="E29" s="2"/>
    </row>
    <row r="30" spans="2:5" x14ac:dyDescent="0.35">
      <c r="B30" s="7"/>
      <c r="C30" s="9"/>
      <c r="D30" s="9"/>
      <c r="E30" s="2"/>
    </row>
    <row r="31" spans="2:5" x14ac:dyDescent="0.35">
      <c r="B31" s="7"/>
      <c r="C31" s="9"/>
      <c r="D31" s="9"/>
      <c r="E31" s="2"/>
    </row>
    <row r="32" spans="2:5" x14ac:dyDescent="0.35">
      <c r="B32" s="7"/>
      <c r="C32" s="9"/>
      <c r="D32" s="9"/>
      <c r="E32" s="2"/>
    </row>
    <row r="33" spans="2:5" x14ac:dyDescent="0.35">
      <c r="B33" s="7"/>
      <c r="C33" s="9"/>
      <c r="D33" s="9"/>
      <c r="E33" s="2"/>
    </row>
    <row r="34" spans="2:5" x14ac:dyDescent="0.35">
      <c r="B34" s="7"/>
      <c r="C34" s="9"/>
      <c r="D34" s="9"/>
      <c r="E34" s="2"/>
    </row>
    <row r="35" spans="2:5" x14ac:dyDescent="0.35">
      <c r="B35" s="7"/>
      <c r="C35" s="9"/>
      <c r="D35" s="9"/>
      <c r="E35" s="2"/>
    </row>
    <row r="36" spans="2:5" x14ac:dyDescent="0.35">
      <c r="B36" s="7"/>
      <c r="C36" s="9"/>
      <c r="D36" s="9"/>
      <c r="E36" s="2"/>
    </row>
    <row r="37" spans="2:5" x14ac:dyDescent="0.35">
      <c r="B37" s="7"/>
      <c r="C37" s="9"/>
      <c r="D37" s="9"/>
      <c r="E37" s="2"/>
    </row>
    <row r="38" spans="2:5" x14ac:dyDescent="0.35">
      <c r="B38" s="7"/>
      <c r="C38" s="9"/>
      <c r="D38" s="9"/>
      <c r="E38" s="2"/>
    </row>
    <row r="39" spans="2:5" x14ac:dyDescent="0.35">
      <c r="B39" s="7"/>
      <c r="C39" s="9"/>
      <c r="D39" s="9"/>
      <c r="E39" s="2"/>
    </row>
    <row r="40" spans="2:5" x14ac:dyDescent="0.35">
      <c r="B40" s="7"/>
      <c r="C40" s="9"/>
      <c r="D40" s="9"/>
      <c r="E40" s="2"/>
    </row>
    <row r="41" spans="2:5" x14ac:dyDescent="0.35">
      <c r="B41" s="7"/>
      <c r="C41" s="9"/>
      <c r="D41" s="9"/>
      <c r="E41" s="2"/>
    </row>
    <row r="42" spans="2:5" x14ac:dyDescent="0.35">
      <c r="B42" s="7"/>
      <c r="C42" s="9"/>
      <c r="D42" s="9"/>
      <c r="E42" s="2"/>
    </row>
    <row r="43" spans="2:5" x14ac:dyDescent="0.35">
      <c r="B43" s="7"/>
      <c r="C43" s="9"/>
      <c r="D43" s="9"/>
      <c r="E43" s="2"/>
    </row>
    <row r="44" spans="2:5" x14ac:dyDescent="0.35">
      <c r="B44" s="7"/>
      <c r="C44" s="9"/>
      <c r="D44" s="9"/>
      <c r="E44" s="2"/>
    </row>
    <row r="45" spans="2:5" x14ac:dyDescent="0.35">
      <c r="B45" s="7"/>
      <c r="C45" s="9"/>
      <c r="D45" s="9"/>
      <c r="E45" s="2"/>
    </row>
    <row r="46" spans="2:5" x14ac:dyDescent="0.35">
      <c r="B46" s="7"/>
      <c r="C46" s="9"/>
      <c r="D46" s="9"/>
      <c r="E46" s="2"/>
    </row>
    <row r="47" spans="2:5" x14ac:dyDescent="0.35">
      <c r="B47" s="7"/>
      <c r="C47" s="9"/>
      <c r="D47" s="9"/>
      <c r="E47" s="2"/>
    </row>
    <row r="48" spans="2:5" x14ac:dyDescent="0.35">
      <c r="B48" s="7"/>
      <c r="C48" s="9"/>
      <c r="D48" s="9"/>
      <c r="E48" s="2"/>
    </row>
    <row r="49" spans="2:5" x14ac:dyDescent="0.35">
      <c r="B49" s="7"/>
      <c r="C49" s="9"/>
      <c r="D49" s="9"/>
      <c r="E49" s="2"/>
    </row>
    <row r="50" spans="2:5" x14ac:dyDescent="0.35">
      <c r="B50" s="7"/>
      <c r="C50" s="9"/>
      <c r="D50" s="9"/>
      <c r="E50" s="2"/>
    </row>
    <row r="51" spans="2:5" x14ac:dyDescent="0.35">
      <c r="B51" s="7"/>
      <c r="C51" s="9"/>
      <c r="D51" s="9"/>
      <c r="E51" s="2"/>
    </row>
    <row r="52" spans="2:5" x14ac:dyDescent="0.35">
      <c r="B52" s="7"/>
      <c r="C52" s="9"/>
      <c r="D52" s="9"/>
      <c r="E52" s="2"/>
    </row>
    <row r="53" spans="2:5" x14ac:dyDescent="0.35">
      <c r="B53" s="7"/>
      <c r="C53" s="9"/>
      <c r="D53" s="9"/>
      <c r="E53" s="2"/>
    </row>
    <row r="54" spans="2:5" x14ac:dyDescent="0.35">
      <c r="B54" s="7"/>
      <c r="C54" s="9"/>
      <c r="D54" s="9"/>
      <c r="E54" s="2"/>
    </row>
    <row r="55" spans="2:5" x14ac:dyDescent="0.35">
      <c r="B55" s="7"/>
      <c r="C55" s="9"/>
      <c r="D55" s="9"/>
      <c r="E55" s="2"/>
    </row>
    <row r="56" spans="2:5" x14ac:dyDescent="0.35">
      <c r="B56" s="7"/>
      <c r="C56" s="9"/>
      <c r="D56" s="9"/>
      <c r="E56" s="2"/>
    </row>
    <row r="57" spans="2:5" x14ac:dyDescent="0.35">
      <c r="B57" s="7"/>
      <c r="C57" s="9"/>
      <c r="D57" s="9"/>
      <c r="E57" s="2"/>
    </row>
    <row r="58" spans="2:5" x14ac:dyDescent="0.35">
      <c r="B58" s="7"/>
      <c r="C58" s="9"/>
      <c r="D58" s="9"/>
      <c r="E58" s="2"/>
    </row>
    <row r="59" spans="2:5" x14ac:dyDescent="0.35">
      <c r="B59" s="7"/>
      <c r="C59" s="9"/>
      <c r="D59" s="9"/>
      <c r="E59" s="2"/>
    </row>
    <row r="60" spans="2:5" x14ac:dyDescent="0.35">
      <c r="B60" s="7"/>
      <c r="C60" s="9"/>
      <c r="D60" s="9"/>
      <c r="E60" s="2"/>
    </row>
    <row r="61" spans="2:5" x14ac:dyDescent="0.35">
      <c r="B61" s="7"/>
      <c r="C61" s="9"/>
      <c r="D61" s="9"/>
      <c r="E61" s="2"/>
    </row>
    <row r="62" spans="2:5" x14ac:dyDescent="0.35">
      <c r="B62" s="7"/>
      <c r="C62" s="9"/>
      <c r="D62" s="9"/>
      <c r="E62" s="2"/>
    </row>
    <row r="63" spans="2:5" x14ac:dyDescent="0.35">
      <c r="B63" s="7"/>
      <c r="C63" s="9"/>
      <c r="D63" s="9"/>
      <c r="E63" s="2"/>
    </row>
    <row r="64" spans="2:5" x14ac:dyDescent="0.35">
      <c r="B64" s="7"/>
      <c r="C64" s="9"/>
      <c r="D64" s="9"/>
      <c r="E64" s="2"/>
    </row>
    <row r="65" spans="2:5" x14ac:dyDescent="0.35">
      <c r="B65" s="7"/>
      <c r="C65" s="9"/>
      <c r="D65" s="9"/>
      <c r="E65" s="2"/>
    </row>
    <row r="66" spans="2:5" x14ac:dyDescent="0.35">
      <c r="B66" s="7"/>
      <c r="C66" s="9"/>
      <c r="D66" s="9"/>
      <c r="E66" s="2"/>
    </row>
    <row r="67" spans="2:5" x14ac:dyDescent="0.35">
      <c r="B67" s="7"/>
      <c r="C67" s="9"/>
      <c r="D67" s="9"/>
      <c r="E67" s="2"/>
    </row>
    <row r="68" spans="2:5" x14ac:dyDescent="0.35">
      <c r="B68" s="7"/>
      <c r="C68" s="9"/>
      <c r="D68" s="9"/>
      <c r="E68" s="2"/>
    </row>
    <row r="69" spans="2:5" x14ac:dyDescent="0.35">
      <c r="B69" s="7"/>
      <c r="C69" s="9"/>
      <c r="D69" s="9"/>
      <c r="E69" s="2"/>
    </row>
    <row r="70" spans="2:5" x14ac:dyDescent="0.35">
      <c r="B70" s="7"/>
      <c r="C70" s="9"/>
      <c r="D70" s="9"/>
      <c r="E70" s="2"/>
    </row>
    <row r="71" spans="2:5" x14ac:dyDescent="0.35">
      <c r="B71" s="7"/>
      <c r="C71" s="9"/>
      <c r="D71" s="9"/>
      <c r="E71" s="2"/>
    </row>
    <row r="72" spans="2:5" x14ac:dyDescent="0.35">
      <c r="B72" s="7"/>
      <c r="C72" s="9"/>
      <c r="D72" s="9"/>
      <c r="E72" s="2"/>
    </row>
    <row r="73" spans="2:5" x14ac:dyDescent="0.35">
      <c r="B73" s="7"/>
      <c r="C73" s="9"/>
      <c r="D73" s="9"/>
      <c r="E73" s="2"/>
    </row>
    <row r="74" spans="2:5" x14ac:dyDescent="0.35">
      <c r="B74" s="18"/>
      <c r="C74" s="19"/>
      <c r="D74" s="20"/>
    </row>
    <row r="75" spans="2:5" x14ac:dyDescent="0.35">
      <c r="B75" s="7"/>
      <c r="C75" s="9"/>
      <c r="D75" s="13"/>
    </row>
    <row r="76" spans="2:5" x14ac:dyDescent="0.35">
      <c r="B76" s="7"/>
      <c r="C76" s="9"/>
      <c r="D76" s="13"/>
    </row>
    <row r="77" spans="2:5" x14ac:dyDescent="0.35">
      <c r="B77" s="7"/>
      <c r="C77" s="9"/>
      <c r="D77" s="13"/>
    </row>
    <row r="78" spans="2:5" x14ac:dyDescent="0.35">
      <c r="B78" s="7"/>
      <c r="C78" s="9"/>
      <c r="D78" s="13"/>
    </row>
    <row r="79" spans="2:5" x14ac:dyDescent="0.35">
      <c r="B79" s="7"/>
      <c r="C79" s="9"/>
      <c r="D79" s="13"/>
    </row>
    <row r="80" spans="2:5" x14ac:dyDescent="0.35">
      <c r="B80" s="7"/>
      <c r="C80" s="9"/>
      <c r="D80" s="13"/>
    </row>
    <row r="81" spans="2:4" x14ac:dyDescent="0.35">
      <c r="B81" s="7"/>
      <c r="C81" s="9"/>
      <c r="D81" s="13"/>
    </row>
    <row r="82" spans="2:4" x14ac:dyDescent="0.35">
      <c r="B82" s="7"/>
      <c r="C82" s="9"/>
      <c r="D82" s="13"/>
    </row>
    <row r="83" spans="2:4" x14ac:dyDescent="0.35">
      <c r="B83" s="7"/>
      <c r="C83" s="9"/>
      <c r="D83" s="13"/>
    </row>
    <row r="84" spans="2:4" x14ac:dyDescent="0.35">
      <c r="B84" s="7"/>
      <c r="C84" s="9"/>
      <c r="D84" s="13"/>
    </row>
    <row r="85" spans="2:4" x14ac:dyDescent="0.35">
      <c r="B85" s="7"/>
      <c r="C85" s="9"/>
      <c r="D85" s="13"/>
    </row>
    <row r="86" spans="2:4" x14ac:dyDescent="0.35">
      <c r="B86" s="7"/>
      <c r="C86" s="9"/>
      <c r="D86" s="13"/>
    </row>
    <row r="87" spans="2:4" x14ac:dyDescent="0.35">
      <c r="B87" s="7"/>
      <c r="C87" s="9"/>
      <c r="D87" s="13"/>
    </row>
    <row r="88" spans="2:4" x14ac:dyDescent="0.35">
      <c r="B88" s="7"/>
      <c r="C88" s="9"/>
      <c r="D88" s="13"/>
    </row>
    <row r="89" spans="2:4" x14ac:dyDescent="0.35">
      <c r="B89" s="7"/>
      <c r="C89" s="9"/>
      <c r="D89" s="13"/>
    </row>
    <row r="90" spans="2:4" x14ac:dyDescent="0.35">
      <c r="B90" s="7"/>
      <c r="C90" s="9"/>
      <c r="D90" s="13"/>
    </row>
    <row r="91" spans="2:4" x14ac:dyDescent="0.35">
      <c r="B91" s="7"/>
      <c r="C91" s="9"/>
      <c r="D91" s="13"/>
    </row>
    <row r="92" spans="2:4" x14ac:dyDescent="0.35">
      <c r="B92" s="7"/>
      <c r="C92" s="9"/>
      <c r="D92" s="13"/>
    </row>
    <row r="93" spans="2:4" x14ac:dyDescent="0.35">
      <c r="B93" s="7"/>
      <c r="C93" s="9"/>
      <c r="D93" s="13"/>
    </row>
    <row r="94" spans="2:4" x14ac:dyDescent="0.35">
      <c r="B94" s="7"/>
      <c r="C94" s="9"/>
      <c r="D94" s="13"/>
    </row>
    <row r="95" spans="2:4" x14ac:dyDescent="0.35">
      <c r="B95" s="7"/>
      <c r="C95" s="9"/>
      <c r="D95" s="13"/>
    </row>
    <row r="96" spans="2:4" x14ac:dyDescent="0.35">
      <c r="B96" s="7"/>
      <c r="C96" s="9"/>
      <c r="D96" s="13"/>
    </row>
    <row r="97" spans="2:4" x14ac:dyDescent="0.35">
      <c r="B97" s="7"/>
      <c r="C97" s="9"/>
      <c r="D97" s="13"/>
    </row>
    <row r="98" spans="2:4" x14ac:dyDescent="0.35">
      <c r="B98" s="7"/>
      <c r="C98" s="9"/>
      <c r="D98" s="13"/>
    </row>
    <row r="99" spans="2:4" x14ac:dyDescent="0.35">
      <c r="B99" s="7"/>
      <c r="C99" s="9"/>
      <c r="D99" s="13"/>
    </row>
    <row r="100" spans="2:4" x14ac:dyDescent="0.35">
      <c r="B100" s="7"/>
      <c r="C100" s="9"/>
      <c r="D100" s="13"/>
    </row>
    <row r="101" spans="2:4" x14ac:dyDescent="0.35">
      <c r="B101" s="7"/>
      <c r="C101" s="9"/>
      <c r="D101" s="13"/>
    </row>
    <row r="102" spans="2:4" x14ac:dyDescent="0.35">
      <c r="B102" s="7"/>
      <c r="C102" s="9"/>
      <c r="D102" s="13"/>
    </row>
    <row r="103" spans="2:4" x14ac:dyDescent="0.35">
      <c r="B103" s="7"/>
      <c r="C103" s="9"/>
      <c r="D103" s="13"/>
    </row>
    <row r="104" spans="2:4" x14ac:dyDescent="0.35">
      <c r="C104" s="9"/>
    </row>
    <row r="105" spans="2:4" x14ac:dyDescent="0.35">
      <c r="C105" s="9"/>
    </row>
  </sheetData>
  <mergeCells count="1">
    <mergeCell ref="B2:E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lessThan" allowBlank="1" showInputMessage="1" showErrorMessage="1" xr:uid="{00000000-0002-0000-0100-000000000000}">
          <x14:formula1>
            <xm:f>Base_de_donnee_articles!$C$7:$C$72</xm:f>
          </x14:formula1>
          <xm:sqref>C8:C105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F454"/>
  <sheetViews>
    <sheetView workbookViewId="0">
      <selection activeCell="H32" sqref="H32"/>
    </sheetView>
  </sheetViews>
  <sheetFormatPr baseColWidth="10" defaultRowHeight="14.5" x14ac:dyDescent="0.35"/>
  <cols>
    <col min="1" max="1" width="11.453125" bestFit="1" customWidth="1"/>
    <col min="2" max="2" width="23.81640625" customWidth="1"/>
  </cols>
  <sheetData>
    <row r="1" spans="1:6" ht="15" thickBot="1" x14ac:dyDescent="0.4"/>
    <row r="2" spans="1:6" ht="15" customHeight="1" x14ac:dyDescent="0.35">
      <c r="C2" s="36" t="s">
        <v>15</v>
      </c>
      <c r="D2" s="37"/>
      <c r="E2" s="37"/>
      <c r="F2" s="38"/>
    </row>
    <row r="3" spans="1:6" ht="15.75" customHeight="1" thickBot="1" x14ac:dyDescent="0.4">
      <c r="C3" s="39"/>
      <c r="D3" s="40"/>
      <c r="E3" s="40"/>
      <c r="F3" s="41"/>
    </row>
    <row r="7" spans="1:6" x14ac:dyDescent="0.35">
      <c r="A7" s="6" t="s">
        <v>25</v>
      </c>
      <c r="B7" s="6" t="s">
        <v>5</v>
      </c>
      <c r="C7" s="6" t="s">
        <v>4</v>
      </c>
      <c r="D7" s="6" t="s">
        <v>10</v>
      </c>
      <c r="E7" s="21" t="s">
        <v>18</v>
      </c>
      <c r="F7" s="21" t="s">
        <v>19</v>
      </c>
    </row>
    <row r="8" spans="1:6" x14ac:dyDescent="0.35">
      <c r="A8" s="2" t="str">
        <f>IF(Base_de_donnee_articles!A8="","",Base_de_donnee_articles!A8)</f>
        <v xml:space="preserve">40g = 6 tranches </v>
      </c>
      <c r="B8" s="2" t="str">
        <f>IF(Base_de_donnee_articles!B8="","",Base_de_donnee_articles!B8)</f>
        <v xml:space="preserve">blanc de poulet </v>
      </c>
      <c r="C8" s="2">
        <f>IF(E8="",0,E8)</f>
        <v>0</v>
      </c>
      <c r="D8" s="2">
        <f>IF(F8="",0,F8)</f>
        <v>0</v>
      </c>
    </row>
    <row r="9" spans="1:6" x14ac:dyDescent="0.35">
      <c r="A9" s="2" t="str">
        <f>IF(Base_de_donnee_articles!A9="","",Base_de_donnee_articles!A9)</f>
        <v>capsules x40</v>
      </c>
      <c r="B9" s="2" t="str">
        <f>IF(Base_de_donnee_articles!B9="","",Base_de_donnee_articles!B9)</f>
        <v>expresso graindor</v>
      </c>
      <c r="C9" s="2">
        <f t="shared" ref="C9:C72" si="0">IF(E9="",0,E9)</f>
        <v>0</v>
      </c>
      <c r="D9" s="2">
        <f t="shared" ref="D9:D72" si="1">IF(F9="",0,F9)</f>
        <v>0</v>
      </c>
    </row>
    <row r="10" spans="1:6" x14ac:dyDescent="0.35">
      <c r="A10" s="2" t="str">
        <f>IF(Base_de_donnee_articles!A10="","",Base_de_donnee_articles!A10)</f>
        <v>barquette</v>
      </c>
      <c r="B10" s="2" t="str">
        <f>IF(Base_de_donnee_articles!B10="","",Base_de_donnee_articles!B10)</f>
        <v xml:space="preserve">pruneaux agen </v>
      </c>
      <c r="C10" s="2">
        <f t="shared" si="0"/>
        <v>0</v>
      </c>
      <c r="D10" s="2">
        <f t="shared" si="1"/>
        <v>0</v>
      </c>
    </row>
    <row r="11" spans="1:6" x14ac:dyDescent="0.35">
      <c r="A11" s="2" t="str">
        <f>IF(Base_de_donnee_articles!A11="","",Base_de_donnee_articles!A11)</f>
        <v>30g x8</v>
      </c>
      <c r="B11" s="2" t="str">
        <f>IF(Base_de_donnee_articles!B11="","",Base_de_donnee_articles!B11)</f>
        <v>camembert</v>
      </c>
      <c r="C11" s="2">
        <f t="shared" si="0"/>
        <v>0</v>
      </c>
      <c r="D11" s="2">
        <f t="shared" si="1"/>
        <v>0</v>
      </c>
    </row>
    <row r="12" spans="1:6" x14ac:dyDescent="0.35">
      <c r="A12" s="2" t="str">
        <f>IF(Base_de_donnee_articles!A12="","",Base_de_donnee_articles!A12)</f>
        <v>125g x 4</v>
      </c>
      <c r="B12" s="2" t="str">
        <f>IF(Base_de_donnee_articles!B12="","",Base_de_donnee_articles!B12)</f>
        <v>activia nature</v>
      </c>
      <c r="C12" s="2">
        <f t="shared" si="0"/>
        <v>0</v>
      </c>
      <c r="D12" s="2">
        <f t="shared" si="1"/>
        <v>0</v>
      </c>
    </row>
    <row r="13" spans="1:6" x14ac:dyDescent="0.35">
      <c r="A13" s="2" t="str">
        <f>IF(Base_de_donnee_articles!A13="","",Base_de_donnee_articles!A13)</f>
        <v>125gx 8</v>
      </c>
      <c r="B13" s="2" t="str">
        <f>IF(Base_de_donnee_articles!B13="","",Base_de_donnee_articles!B13)</f>
        <v>activia fruits panaché</v>
      </c>
      <c r="C13" s="2">
        <f t="shared" si="0"/>
        <v>0</v>
      </c>
      <c r="D13" s="2">
        <f t="shared" si="1"/>
        <v>0</v>
      </c>
    </row>
    <row r="14" spans="1:6" x14ac:dyDescent="0.35">
      <c r="A14" s="2" t="str">
        <f>IF(Base_de_donnee_articles!A14="","",Base_de_donnee_articles!A14)</f>
        <v>1,5l</v>
      </c>
      <c r="B14" s="2" t="str">
        <f>IF(Base_de_donnee_articles!B14="","",Base_de_donnee_articles!B14)</f>
        <v>vinaigre blanc</v>
      </c>
      <c r="C14" s="2">
        <f t="shared" si="0"/>
        <v>0</v>
      </c>
      <c r="D14" s="2">
        <f t="shared" si="1"/>
        <v>0</v>
      </c>
    </row>
    <row r="15" spans="1:6" x14ac:dyDescent="0.35">
      <c r="A15" s="2" t="str">
        <f>IF(Base_de_donnee_articles!A15="","",Base_de_donnee_articles!A15)</f>
        <v>50gx10 T</v>
      </c>
      <c r="B15" s="2" t="str">
        <f>IF(Base_de_donnee_articles!B15="","",Base_de_donnee_articles!B15)</f>
        <v xml:space="preserve">jambon cuit torchon sup </v>
      </c>
      <c r="C15" s="2">
        <f t="shared" si="0"/>
        <v>0</v>
      </c>
      <c r="D15" s="2">
        <f t="shared" si="1"/>
        <v>0</v>
      </c>
    </row>
    <row r="16" spans="1:6" x14ac:dyDescent="0.35">
      <c r="A16" s="2" t="str">
        <f>IF(Base_de_donnee_articles!A16="","",Base_de_donnee_articles!A16)</f>
        <v>25gx20</v>
      </c>
      <c r="B16" s="2" t="str">
        <f>IF(Base_de_donnee_articles!B16="","",Base_de_donnee_articles!B16)</f>
        <v>saucisses fumées</v>
      </c>
      <c r="C16" s="2">
        <f t="shared" si="0"/>
        <v>0</v>
      </c>
      <c r="D16" s="2">
        <f t="shared" si="1"/>
        <v>0</v>
      </c>
    </row>
    <row r="17" spans="1:4" x14ac:dyDescent="0.35">
      <c r="A17" s="2" t="str">
        <f>IF(Base_de_donnee_articles!A17="","",Base_de_donnee_articles!A17)</f>
        <v>kg</v>
      </c>
      <c r="B17" s="2" t="str">
        <f>IF(Base_de_donnee_articles!B17="","",Base_de_donnee_articles!B17)</f>
        <v>œufs brouillés</v>
      </c>
      <c r="C17" s="2">
        <f t="shared" si="0"/>
        <v>0</v>
      </c>
      <c r="D17" s="2">
        <f t="shared" si="1"/>
        <v>0</v>
      </c>
    </row>
    <row r="18" spans="1:4" x14ac:dyDescent="0.35">
      <c r="A18" s="2" t="str">
        <f>IF(Base_de_donnee_articles!A18="","",Base_de_donnee_articles!A18)</f>
        <v>300 doses</v>
      </c>
      <c r="B18" s="2" t="str">
        <f>IF(Base_de_donnee_articles!B18="","",Base_de_donnee_articles!B18)</f>
        <v>nescafé sélection</v>
      </c>
      <c r="C18" s="2">
        <f t="shared" si="0"/>
        <v>0</v>
      </c>
      <c r="D18" s="2">
        <f t="shared" si="1"/>
        <v>0</v>
      </c>
    </row>
    <row r="19" spans="1:4" x14ac:dyDescent="0.35">
      <c r="A19" s="2" t="str">
        <f>IF(Base_de_donnee_articles!A19="","",Base_de_donnee_articles!A19)</f>
        <v>300 doses</v>
      </c>
      <c r="B19" s="2" t="str">
        <f>IF(Base_de_donnee_articles!B19="","",Base_de_donnee_articles!B19)</f>
        <v>nescafé sélection DK</v>
      </c>
      <c r="C19" s="2">
        <f t="shared" si="0"/>
        <v>0</v>
      </c>
      <c r="D19" s="2">
        <f t="shared" si="1"/>
        <v>0</v>
      </c>
    </row>
    <row r="20" spans="1:4" x14ac:dyDescent="0.35">
      <c r="A20" s="2" t="str">
        <f>IF(Base_de_donnee_articles!A20="","",Base_de_donnee_articles!A20)</f>
        <v>bouteille</v>
      </c>
      <c r="B20" s="2" t="str">
        <f>IF(Base_de_donnee_articles!B20="","",Base_de_donnee_articles!B20)</f>
        <v>eau de source 1,5l cristaline</v>
      </c>
      <c r="C20" s="2">
        <f t="shared" si="0"/>
        <v>0</v>
      </c>
      <c r="D20" s="2">
        <f t="shared" si="1"/>
        <v>0</v>
      </c>
    </row>
    <row r="21" spans="1:4" x14ac:dyDescent="0.35">
      <c r="A21" s="2" t="str">
        <f>IF(Base_de_donnee_articles!A21="","",Base_de_donnee_articles!A21)</f>
        <v>bouteille</v>
      </c>
      <c r="B21" s="2" t="str">
        <f>IF(Base_de_donnee_articles!B21="","",Base_de_donnee_articles!B21)</f>
        <v>eau de source 50cl cristaline</v>
      </c>
      <c r="C21" s="2">
        <f t="shared" si="0"/>
        <v>0</v>
      </c>
      <c r="D21" s="2">
        <f t="shared" si="1"/>
        <v>0</v>
      </c>
    </row>
    <row r="22" spans="1:4" x14ac:dyDescent="0.35">
      <c r="A22" s="2" t="str">
        <f>IF(Base_de_donnee_articles!A22="","",Base_de_donnee_articles!A22)</f>
        <v>pack x12</v>
      </c>
      <c r="B22" s="2" t="str">
        <f>IF(Base_de_donnee_articles!B22="","",Base_de_donnee_articles!B22)</f>
        <v>biere 25cl heineken</v>
      </c>
      <c r="C22" s="2">
        <f t="shared" si="0"/>
        <v>0</v>
      </c>
      <c r="D22" s="2">
        <f t="shared" si="1"/>
        <v>0</v>
      </c>
    </row>
    <row r="23" spans="1:4" x14ac:dyDescent="0.35">
      <c r="A23" s="2" t="str">
        <f>IF(Base_de_donnee_articles!A23="","",Base_de_donnee_articles!A23)</f>
        <v>canette</v>
      </c>
      <c r="B23" s="2" t="str">
        <f>IF(Base_de_donnee_articles!B23="","",Base_de_donnee_articles!B23)</f>
        <v>biere cannette 33cl heineken</v>
      </c>
      <c r="C23" s="2">
        <f t="shared" si="0"/>
        <v>0</v>
      </c>
      <c r="D23" s="2">
        <f t="shared" si="1"/>
        <v>0</v>
      </c>
    </row>
    <row r="24" spans="1:4" x14ac:dyDescent="0.35">
      <c r="A24" s="2" t="str">
        <f>IF(Base_de_donnee_articles!A24="","",Base_de_donnee_articles!A24)</f>
        <v>10l</v>
      </c>
      <c r="B24" s="2" t="str">
        <f>IF(Base_de_donnee_articles!B24="","",Base_de_donnee_articles!B24)</f>
        <v>Tropicana pur premium pomme</v>
      </c>
      <c r="C24" s="2">
        <f t="shared" si="0"/>
        <v>0</v>
      </c>
      <c r="D24" s="2">
        <f t="shared" si="1"/>
        <v>0</v>
      </c>
    </row>
    <row r="25" spans="1:4" x14ac:dyDescent="0.35">
      <c r="A25" s="2" t="str">
        <f>IF(Base_de_donnee_articles!A25="","",Base_de_donnee_articles!A25)</f>
        <v>10l</v>
      </c>
      <c r="B25" s="2" t="str">
        <f>IF(Base_de_donnee_articles!B25="","",Base_de_donnee_articles!B25)</f>
        <v>tropicana pur premium orange</v>
      </c>
      <c r="C25" s="2">
        <f t="shared" si="0"/>
        <v>0</v>
      </c>
      <c r="D25" s="2">
        <f t="shared" si="1"/>
        <v>0</v>
      </c>
    </row>
    <row r="26" spans="1:4" x14ac:dyDescent="0.35">
      <c r="A26" s="2" t="str">
        <f>IF(Base_de_donnee_articles!A26="","",Base_de_donnee_articles!A26)</f>
        <v>250 sticks</v>
      </c>
      <c r="B26" s="2" t="str">
        <f>IF(Base_de_donnee_articles!B26="","",Base_de_donnee_articles!B26)</f>
        <v>canderel stick 05,g x250</v>
      </c>
      <c r="C26" s="2">
        <f t="shared" si="0"/>
        <v>0</v>
      </c>
      <c r="D26" s="2">
        <f t="shared" si="1"/>
        <v>0</v>
      </c>
    </row>
    <row r="27" spans="1:4" x14ac:dyDescent="0.35">
      <c r="A27" s="2" t="str">
        <f>IF(Base_de_donnee_articles!A27="","",Base_de_donnee_articles!A27)</f>
        <v>carton x36</v>
      </c>
      <c r="B27" s="2" t="str">
        <f>IF(Base_de_donnee_articles!B27="","",Base_de_donnee_articles!B27)</f>
        <v>café filtre Baccara  x36 Miko</v>
      </c>
      <c r="C27" s="2">
        <f t="shared" si="0"/>
        <v>0</v>
      </c>
      <c r="D27" s="2">
        <f t="shared" si="1"/>
        <v>0</v>
      </c>
    </row>
    <row r="28" spans="1:4" x14ac:dyDescent="0.35">
      <c r="A28" s="2" t="str">
        <f>IF(Base_de_donnee_articles!A28="","",Base_de_donnee_articles!A28)</f>
        <v>paquet</v>
      </c>
      <c r="B28" s="2" t="str">
        <f>IF(Base_de_donnee_articles!B28="","",Base_de_donnee_articles!B28)</f>
        <v>pain sandu nature 14t x550g</v>
      </c>
      <c r="C28" s="2">
        <f t="shared" si="0"/>
        <v>0</v>
      </c>
      <c r="D28" s="2">
        <f t="shared" si="1"/>
        <v>0</v>
      </c>
    </row>
    <row r="29" spans="1:4" x14ac:dyDescent="0.35">
      <c r="A29" s="2" t="str">
        <f>IF(Base_de_donnee_articles!A29="","",Base_de_donnee_articles!A29)</f>
        <v>500g</v>
      </c>
      <c r="B29" s="2" t="str">
        <f>IF(Base_de_donnee_articles!B29="","",Base_de_donnee_articles!B29)</f>
        <v>dattes</v>
      </c>
      <c r="C29" s="2">
        <f t="shared" si="0"/>
        <v>0</v>
      </c>
      <c r="D29" s="2">
        <f t="shared" si="1"/>
        <v>0</v>
      </c>
    </row>
    <row r="30" spans="1:4" x14ac:dyDescent="0.35">
      <c r="A30" s="2" t="str">
        <f>IF(Base_de_donnee_articles!A30="","",Base_de_donnee_articles!A30)</f>
        <v>kg</v>
      </c>
      <c r="B30" s="2" t="str">
        <f>IF(Base_de_donnee_articles!B30="","",Base_de_donnee_articles!B30)</f>
        <v>figues moelleuses Prunille</v>
      </c>
      <c r="C30" s="2">
        <f t="shared" si="0"/>
        <v>0</v>
      </c>
      <c r="D30" s="2">
        <f t="shared" si="1"/>
        <v>0</v>
      </c>
    </row>
    <row r="31" spans="1:4" x14ac:dyDescent="0.35">
      <c r="A31" s="2" t="str">
        <f>IF(Base_de_donnee_articles!A31="","",Base_de_donnee_articles!A31)</f>
        <v>kg</v>
      </c>
      <c r="B31" s="2" t="str">
        <f>IF(Base_de_donnee_articles!B31="","",Base_de_donnee_articles!B31)</f>
        <v>abricots moelleux prunille</v>
      </c>
      <c r="C31" s="2">
        <f t="shared" si="0"/>
        <v>0</v>
      </c>
      <c r="D31" s="2">
        <f t="shared" si="1"/>
        <v>0</v>
      </c>
    </row>
    <row r="32" spans="1:4" x14ac:dyDescent="0.35">
      <c r="A32" s="2" t="str">
        <f>IF(Base_de_donnee_articles!A32="","",Base_de_donnee_articles!A32)</f>
        <v>paquet 250</v>
      </c>
      <c r="B32" s="2" t="str">
        <f>IF(Base_de_donnee_articles!B32="","",Base_de_donnee_articles!B32)</f>
        <v>dentelles rect blancs 30x40</v>
      </c>
      <c r="C32" s="2">
        <f t="shared" si="0"/>
        <v>0</v>
      </c>
      <c r="D32" s="2">
        <f t="shared" si="1"/>
        <v>0</v>
      </c>
    </row>
    <row r="33" spans="1:4" x14ac:dyDescent="0.35">
      <c r="A33" s="2" t="str">
        <f>IF(Base_de_donnee_articles!A33="","",Base_de_donnee_articles!A33)</f>
        <v>barquette x24 T</v>
      </c>
      <c r="B33" s="2" t="str">
        <f>IF(Base_de_donnee_articles!B33="","",Base_de_donnee_articles!B33)</f>
        <v>comté AOP 30gx24 T</v>
      </c>
      <c r="C33" s="2">
        <f t="shared" si="0"/>
        <v>0</v>
      </c>
      <c r="D33" s="2">
        <f t="shared" si="1"/>
        <v>0</v>
      </c>
    </row>
    <row r="34" spans="1:4" x14ac:dyDescent="0.35">
      <c r="A34" s="2" t="str">
        <f>IF(Base_de_donnee_articles!A34="","",Base_de_donnee_articles!A34)</f>
        <v>barquette x24 T</v>
      </c>
      <c r="B34" s="2" t="str">
        <f>IF(Base_de_donnee_articles!B34="","",Base_de_donnee_articles!B34)</f>
        <v>cantal jeune AOP 30g x24 T</v>
      </c>
      <c r="C34" s="2">
        <f t="shared" si="0"/>
        <v>0</v>
      </c>
      <c r="D34" s="2">
        <f t="shared" si="1"/>
        <v>0</v>
      </c>
    </row>
    <row r="35" spans="1:4" x14ac:dyDescent="0.35">
      <c r="A35" s="2" t="str">
        <f>IF(Base_de_donnee_articles!A35="","",Base_de_donnee_articles!A35)</f>
        <v>brique x1 L</v>
      </c>
      <c r="B35" s="2" t="str">
        <f>IF(Base_de_donnee_articles!B35="","",Base_de_donnee_articles!B35)</f>
        <v>lait 1/2 écrémé UHT 1l</v>
      </c>
      <c r="C35" s="2">
        <f t="shared" si="0"/>
        <v>0</v>
      </c>
      <c r="D35" s="2">
        <f t="shared" si="1"/>
        <v>0</v>
      </c>
    </row>
    <row r="36" spans="1:4" x14ac:dyDescent="0.35">
      <c r="A36" s="2" t="str">
        <f>IF(Base_de_donnee_articles!A36="","",Base_de_donnee_articles!A36)</f>
        <v>poche 1kg</v>
      </c>
      <c r="B36" s="2" t="str">
        <f>IF(Base_de_donnee_articles!B36="","",Base_de_donnee_articles!B36)</f>
        <v>poudre choco 1 kg Van Houten</v>
      </c>
      <c r="C36" s="2">
        <f t="shared" si="0"/>
        <v>0</v>
      </c>
      <c r="D36" s="2">
        <f t="shared" si="1"/>
        <v>0</v>
      </c>
    </row>
    <row r="37" spans="1:4" x14ac:dyDescent="0.35">
      <c r="A37" s="2" t="str">
        <f>IF(Base_de_donnee_articles!A37="","",Base_de_donnee_articles!A37)</f>
        <v>boite x25</v>
      </c>
      <c r="B37" s="2" t="str">
        <f>IF(Base_de_donnee_articles!B37="","",Base_de_donnee_articles!B37)</f>
        <v>thé noir caramel  Baronny's</v>
      </c>
      <c r="C37" s="2">
        <f t="shared" si="0"/>
        <v>0</v>
      </c>
      <c r="D37" s="2">
        <f t="shared" si="1"/>
        <v>0</v>
      </c>
    </row>
    <row r="38" spans="1:4" x14ac:dyDescent="0.35">
      <c r="A38" s="2" t="str">
        <f>IF(Base_de_donnee_articles!A38="","",Base_de_donnee_articles!A38)</f>
        <v>boite x25</v>
      </c>
      <c r="B38" s="2" t="str">
        <f>IF(Base_de_donnee_articles!B38="","",Base_de_donnee_articles!B38)</f>
        <v>the noir Earl Grey  Baronny's</v>
      </c>
      <c r="C38" s="2">
        <f t="shared" si="0"/>
        <v>0</v>
      </c>
      <c r="D38" s="2">
        <f t="shared" si="1"/>
        <v>0</v>
      </c>
    </row>
    <row r="39" spans="1:4" x14ac:dyDescent="0.35">
      <c r="A39" s="2" t="str">
        <f>IF(Base_de_donnee_articles!A39="","",Base_de_donnee_articles!A39)</f>
        <v>pot 400g</v>
      </c>
      <c r="B39" s="2" t="str">
        <f>IF(Base_de_donnee_articles!B39="","",Base_de_donnee_articles!B39)</f>
        <v>Nutella 400g</v>
      </c>
      <c r="C39" s="2">
        <f t="shared" si="0"/>
        <v>0</v>
      </c>
      <c r="D39" s="2">
        <f t="shared" si="1"/>
        <v>0</v>
      </c>
    </row>
    <row r="40" spans="1:4" x14ac:dyDescent="0.35">
      <c r="A40" s="2" t="str">
        <f>IF(Base_de_donnee_articles!A40="","",Base_de_donnee_articles!A40)</f>
        <v xml:space="preserve">paquet x200 </v>
      </c>
      <c r="B40" s="2" t="str">
        <f>IF(Base_de_donnee_articles!B40="","",Base_de_donnee_articles!B40)</f>
        <v>serv, ouate 2F 30x40x200</v>
      </c>
      <c r="C40" s="2">
        <f t="shared" si="0"/>
        <v>0</v>
      </c>
      <c r="D40" s="2">
        <f t="shared" si="1"/>
        <v>0</v>
      </c>
    </row>
    <row r="41" spans="1:4" x14ac:dyDescent="0.35">
      <c r="A41" s="2" t="str">
        <f>IF(Base_de_donnee_articles!A41="","",Base_de_donnee_articles!A41)</f>
        <v>paquet</v>
      </c>
      <c r="B41" s="2" t="str">
        <f>IF(Base_de_donnee_articles!B41="","",Base_de_donnee_articles!B41)</f>
        <v>pain mie complet 600 g</v>
      </c>
      <c r="C41" s="2">
        <f t="shared" si="0"/>
        <v>0</v>
      </c>
      <c r="D41" s="2">
        <f t="shared" si="1"/>
        <v>0</v>
      </c>
    </row>
    <row r="42" spans="1:4" x14ac:dyDescent="0.35">
      <c r="A42" s="2" t="str">
        <f>IF(Base_de_donnee_articles!A42="","",Base_de_donnee_articles!A42)</f>
        <v>barquette</v>
      </c>
      <c r="B42" s="2" t="str">
        <f>IF(Base_de_donnee_articles!B42="","",Base_de_donnee_articles!B42)</f>
        <v>jambon de dinde 40g x10t</v>
      </c>
      <c r="C42" s="2">
        <f t="shared" si="0"/>
        <v>0</v>
      </c>
      <c r="D42" s="2">
        <f t="shared" si="1"/>
        <v>0</v>
      </c>
    </row>
    <row r="43" spans="1:4" x14ac:dyDescent="0.35">
      <c r="A43" s="2" t="str">
        <f>IF(Base_de_donnee_articles!A43="","",Base_de_donnee_articles!A43)</f>
        <v>Barquette</v>
      </c>
      <c r="B43" s="2" t="str">
        <f>IF(Base_de_donnee_articles!B43="","",Base_de_donnee_articles!B43)</f>
        <v>fourme d'ambert AOP 24 T</v>
      </c>
      <c r="C43" s="2">
        <f t="shared" si="0"/>
        <v>0</v>
      </c>
      <c r="D43" s="2">
        <f t="shared" si="1"/>
        <v>0</v>
      </c>
    </row>
    <row r="44" spans="1:4" x14ac:dyDescent="0.35">
      <c r="A44" s="2" t="str">
        <f>IF(Base_de_donnee_articles!A44="","",Base_de_donnee_articles!A44)</f>
        <v>paquet x12</v>
      </c>
      <c r="B44" s="2" t="str">
        <f>IF(Base_de_donnee_articles!B44="","",Base_de_donnee_articles!B44)</f>
        <v>pap, hyg, strong x12 écolucart</v>
      </c>
      <c r="C44" s="2">
        <f t="shared" si="0"/>
        <v>0</v>
      </c>
      <c r="D44" s="2">
        <f t="shared" si="1"/>
        <v>0</v>
      </c>
    </row>
    <row r="45" spans="1:4" x14ac:dyDescent="0.35">
      <c r="A45" s="2" t="str">
        <f>IF(Base_de_donnee_articles!A45="","",Base_de_donnee_articles!A45)</f>
        <v>boite 0,45 x300</v>
      </c>
      <c r="B45" s="2" t="str">
        <f>IF(Base_de_donnee_articles!B45="","",Base_de_donnee_articles!B45)</f>
        <v>film alim 300 m</v>
      </c>
      <c r="C45" s="2">
        <f t="shared" si="0"/>
        <v>0</v>
      </c>
      <c r="D45" s="2">
        <f t="shared" si="1"/>
        <v>0</v>
      </c>
    </row>
    <row r="46" spans="1:4" x14ac:dyDescent="0.35">
      <c r="A46" s="2" t="str">
        <f>IF(Base_de_donnee_articles!A46="","",Base_de_donnee_articles!A46)</f>
        <v xml:space="preserve">carton  </v>
      </c>
      <c r="B46" s="2" t="str">
        <f>IF(Base_de_donnee_articles!B46="","",Base_de_donnee_articles!B46)</f>
        <v>gobelet sachet ind x250</v>
      </c>
      <c r="C46" s="2">
        <f t="shared" si="0"/>
        <v>0</v>
      </c>
      <c r="D46" s="2">
        <f t="shared" si="1"/>
        <v>0</v>
      </c>
    </row>
    <row r="47" spans="1:4" x14ac:dyDescent="0.35">
      <c r="A47" s="2" t="str">
        <f>IF(Base_de_donnee_articles!A47="","",Base_de_donnee_articles!A47)</f>
        <v>boite 1,4 kg</v>
      </c>
      <c r="B47" s="2" t="str">
        <f>IF(Base_de_donnee_articles!B47="","",Base_de_donnee_articles!B47)</f>
        <v>mini bobbons fruit acid 1,4 kg</v>
      </c>
      <c r="C47" s="2">
        <f t="shared" si="0"/>
        <v>0</v>
      </c>
      <c r="D47" s="2">
        <f t="shared" si="1"/>
        <v>0</v>
      </c>
    </row>
    <row r="48" spans="1:4" x14ac:dyDescent="0.35">
      <c r="A48" s="2" t="str">
        <f>IF(Base_de_donnee_articles!A48="","",Base_de_donnee_articles!A48)</f>
        <v>paquet 800g pur beurre</v>
      </c>
      <c r="B48" s="2" t="str">
        <f>IF(Base_de_donnee_articles!B48="","",Base_de_donnee_articles!B48)</f>
        <v>quatre-quarts</v>
      </c>
      <c r="C48" s="2">
        <f t="shared" si="0"/>
        <v>0</v>
      </c>
      <c r="D48" s="2">
        <f t="shared" si="1"/>
        <v>0</v>
      </c>
    </row>
    <row r="49" spans="1:4" x14ac:dyDescent="0.35">
      <c r="A49" s="2" t="str">
        <f>IF(Base_de_donnee_articles!A49="","",Base_de_donnee_articles!A49)</f>
        <v>pack  x20clx8</v>
      </c>
      <c r="B49" s="2" t="str">
        <f>IF(Base_de_donnee_articles!B49="","",Base_de_donnee_articles!B49)</f>
        <v>coca cola 20cl x8</v>
      </c>
      <c r="C49" s="2">
        <f t="shared" si="0"/>
        <v>0</v>
      </c>
      <c r="D49" s="2">
        <f t="shared" si="1"/>
        <v>0</v>
      </c>
    </row>
    <row r="50" spans="1:4" x14ac:dyDescent="0.35">
      <c r="A50" s="2" t="str">
        <f>IF(Base_de_donnee_articles!A50="","",Base_de_donnee_articles!A50)</f>
        <v>canette</v>
      </c>
      <c r="B50" s="2" t="str">
        <f>IF(Base_de_donnee_articles!B50="","",Base_de_donnee_articles!B50)</f>
        <v>coca cola 33 cl canette</v>
      </c>
      <c r="C50" s="2">
        <f t="shared" si="0"/>
        <v>0</v>
      </c>
      <c r="D50" s="2">
        <f t="shared" si="1"/>
        <v>0</v>
      </c>
    </row>
    <row r="51" spans="1:4" x14ac:dyDescent="0.35">
      <c r="A51" s="2" t="str">
        <f>IF(Base_de_donnee_articles!A51="","",Base_de_donnee_articles!A51)</f>
        <v>pack</v>
      </c>
      <c r="B51" s="2" t="str">
        <f>IF(Base_de_donnee_articles!B51="","",Base_de_donnee_articles!B51)</f>
        <v>evian 50cl x6</v>
      </c>
      <c r="C51" s="2">
        <f t="shared" si="0"/>
        <v>0</v>
      </c>
      <c r="D51" s="2">
        <f t="shared" si="1"/>
        <v>0</v>
      </c>
    </row>
    <row r="52" spans="1:4" x14ac:dyDescent="0.35">
      <c r="A52" s="2" t="str">
        <f>IF(Base_de_donnee_articles!A52="","",Base_de_donnee_articles!A52)</f>
        <v>boite x100</v>
      </c>
      <c r="B52" s="2" t="str">
        <f>IF(Base_de_donnee_articles!B52="","",Base_de_donnee_articles!B52)</f>
        <v>gants jetables latex x100</v>
      </c>
      <c r="C52" s="2">
        <f t="shared" si="0"/>
        <v>0</v>
      </c>
      <c r="D52" s="2">
        <f t="shared" si="1"/>
        <v>0</v>
      </c>
    </row>
    <row r="53" spans="1:4" x14ac:dyDescent="0.35">
      <c r="A53" s="2" t="str">
        <f>IF(Base_de_donnee_articles!A53="","",Base_de_donnee_articles!A53)</f>
        <v>lot x4</v>
      </c>
      <c r="B53" s="2" t="str">
        <f>IF(Base_de_donnee_articles!B53="","",Base_de_donnee_articles!B53)</f>
        <v>yaourts panier fruits yoplait x4</v>
      </c>
      <c r="C53" s="2">
        <f t="shared" si="0"/>
        <v>0</v>
      </c>
      <c r="D53" s="2">
        <f t="shared" si="1"/>
        <v>0</v>
      </c>
    </row>
    <row r="54" spans="1:4" x14ac:dyDescent="0.35">
      <c r="A54" s="2" t="str">
        <f>IF(Base_de_donnee_articles!A54="","",Base_de_donnee_articles!A54)</f>
        <v>lot x24</v>
      </c>
      <c r="B54" s="2" t="str">
        <f>IF(Base_de_donnee_articles!B54="","",Base_de_donnee_articles!B54)</f>
        <v>cristaline 50 cl x 24 TG</v>
      </c>
      <c r="C54" s="2">
        <f t="shared" si="0"/>
        <v>0</v>
      </c>
      <c r="D54" s="2">
        <f t="shared" si="1"/>
        <v>0</v>
      </c>
    </row>
    <row r="55" spans="1:4" x14ac:dyDescent="0.35">
      <c r="A55" s="2" t="str">
        <f>IF(Base_de_donnee_articles!A55="","",Base_de_donnee_articles!A55)</f>
        <v>sac 1kg</v>
      </c>
      <c r="B55" s="2" t="str">
        <f>IF(Base_de_donnee_articles!B55="","",Base_de_donnee_articles!B55)</f>
        <v>raisin sec sultanine standard 1kg</v>
      </c>
      <c r="C55" s="2">
        <f t="shared" si="0"/>
        <v>0</v>
      </c>
      <c r="D55" s="2">
        <f t="shared" si="1"/>
        <v>0</v>
      </c>
    </row>
    <row r="56" spans="1:4" x14ac:dyDescent="0.35">
      <c r="A56" s="2" t="str">
        <f>IF(Base_de_donnee_articles!A56="","",Base_de_donnee_articles!A56)</f>
        <v>barquette 500g</v>
      </c>
      <c r="B56" s="2" t="str">
        <f>IF(Base_de_donnee_articles!B56="","",Base_de_donnee_articles!B56)</f>
        <v>œuf brouillé nature 500g*8 TG</v>
      </c>
      <c r="C56" s="2">
        <f t="shared" si="0"/>
        <v>0</v>
      </c>
      <c r="D56" s="2">
        <f t="shared" si="1"/>
        <v>0</v>
      </c>
    </row>
    <row r="57" spans="1:4" x14ac:dyDescent="0.35">
      <c r="A57" s="2" t="str">
        <f>IF(Base_de_donnee_articles!A57="","",Base_de_donnee_articles!A57)</f>
        <v>unité 125g</v>
      </c>
      <c r="B57" s="2" t="str">
        <f>IF(Base_de_donnee_articles!B57="","",Base_de_donnee_articles!B57)</f>
        <v>activia nature 0% 125g x8 TG</v>
      </c>
      <c r="C57" s="2">
        <f t="shared" si="0"/>
        <v>0</v>
      </c>
      <c r="D57" s="2">
        <f t="shared" si="1"/>
        <v>0</v>
      </c>
    </row>
    <row r="58" spans="1:4" x14ac:dyDescent="0.35">
      <c r="A58" s="2" t="str">
        <f>IF(Base_de_donnee_articles!A58="","",Base_de_donnee_articles!A58)</f>
        <v>colis 30g x 160</v>
      </c>
      <c r="B58" s="2" t="str">
        <f>IF(Base_de_donnee_articles!B58="","",Base_de_donnee_articles!B58)</f>
        <v>mini pain raisin 30g x 160</v>
      </c>
      <c r="C58" s="2">
        <f t="shared" si="0"/>
        <v>0</v>
      </c>
      <c r="D58" s="2">
        <f t="shared" si="1"/>
        <v>0</v>
      </c>
    </row>
    <row r="59" spans="1:4" x14ac:dyDescent="0.35">
      <c r="A59" s="2" t="str">
        <f>IF(Base_de_donnee_articles!A59="","",Base_de_donnee_articles!A59)</f>
        <v>colis 35g x 210</v>
      </c>
      <c r="B59" s="2" t="str">
        <f>IF(Base_de_donnee_articles!B59="","",Base_de_donnee_articles!B59)</f>
        <v>mini pain choco 35g x 210</v>
      </c>
      <c r="C59" s="2">
        <f t="shared" si="0"/>
        <v>0</v>
      </c>
      <c r="D59" s="2">
        <f t="shared" si="1"/>
        <v>0</v>
      </c>
    </row>
    <row r="60" spans="1:4" x14ac:dyDescent="0.35">
      <c r="A60" s="2" t="str">
        <f>IF(Base_de_donnee_articles!A60="","",Base_de_donnee_articles!A60)</f>
        <v>colis 30g x 160</v>
      </c>
      <c r="B60" s="2" t="str">
        <f>IF(Base_de_donnee_articles!B60="","",Base_de_donnee_articles!B60)</f>
        <v>mini croissant beurre 30g x 195</v>
      </c>
      <c r="C60" s="2">
        <f t="shared" si="0"/>
        <v>0</v>
      </c>
      <c r="D60" s="2">
        <f t="shared" si="1"/>
        <v>0</v>
      </c>
    </row>
    <row r="61" spans="1:4" x14ac:dyDescent="0.35">
      <c r="A61" s="2" t="str">
        <f>IF(Base_de_donnee_articles!A61="","",Base_de_donnee_articles!A61)</f>
        <v>colis 30g x 100</v>
      </c>
      <c r="B61" s="2" t="str">
        <f>IF(Base_de_donnee_articles!B61="","",Base_de_donnee_articles!B61)</f>
        <v xml:space="preserve">mini torsade cranberrie 30gx100 </v>
      </c>
      <c r="C61" s="2">
        <f t="shared" si="0"/>
        <v>0</v>
      </c>
      <c r="D61" s="2">
        <f t="shared" si="1"/>
        <v>0</v>
      </c>
    </row>
    <row r="62" spans="1:4" x14ac:dyDescent="0.35">
      <c r="A62" s="2" t="str">
        <f>IF(Base_de_donnee_articles!A62="","",Base_de_donnee_articles!A62)</f>
        <v>sachet 50g</v>
      </c>
      <c r="B62" s="2" t="str">
        <f>IF(Base_de_donnee_articles!B62="","",Base_de_donnee_articles!B62)</f>
        <v>jambon dd torchon *10 x 50g</v>
      </c>
      <c r="C62" s="2">
        <f t="shared" si="0"/>
        <v>0</v>
      </c>
      <c r="D62" s="2">
        <f t="shared" si="1"/>
        <v>0</v>
      </c>
    </row>
    <row r="63" spans="1:4" x14ac:dyDescent="0.35">
      <c r="A63" s="2" t="str">
        <f>IF(Base_de_donnee_articles!A63="","",Base_de_donnee_articles!A63)</f>
        <v>paquet 400g</v>
      </c>
      <c r="B63" s="2" t="str">
        <f>IF(Base_de_donnee_articles!B63="","",Base_de_donnee_articles!B63)</f>
        <v>blanc poulet *10 x 40g</v>
      </c>
      <c r="C63" s="2">
        <f t="shared" si="0"/>
        <v>0</v>
      </c>
      <c r="D63" s="2">
        <f t="shared" si="1"/>
        <v>0</v>
      </c>
    </row>
    <row r="64" spans="1:4" x14ac:dyDescent="0.35">
      <c r="A64" s="2" t="str">
        <f>IF(Base_de_donnee_articles!A64="","",Base_de_donnee_articles!A64)</f>
        <v>lot de 6</v>
      </c>
      <c r="B64" s="2" t="str">
        <f>IF(Base_de_donnee_articles!B64="","",Base_de_donnee_articles!B64)</f>
        <v>destructeur d'odeurs 750ml x 6</v>
      </c>
      <c r="C64" s="2">
        <f t="shared" si="0"/>
        <v>0</v>
      </c>
      <c r="D64" s="2">
        <f t="shared" si="1"/>
        <v>0</v>
      </c>
    </row>
    <row r="65" spans="1:4" x14ac:dyDescent="0.35">
      <c r="A65" s="2" t="str">
        <f>IF(Base_de_donnee_articles!A65="","",Base_de_donnee_articles!A65)</f>
        <v>unité 125g</v>
      </c>
      <c r="B65" s="2" t="str">
        <f>IF(Base_de_donnee_articles!B65="","",Base_de_donnee_articles!B65)</f>
        <v>green care pre-détachant 750 ml</v>
      </c>
      <c r="C65" s="2">
        <f t="shared" si="0"/>
        <v>0</v>
      </c>
      <c r="D65" s="2">
        <f t="shared" si="1"/>
        <v>0</v>
      </c>
    </row>
    <row r="66" spans="1:4" x14ac:dyDescent="0.35">
      <c r="A66" s="2" t="str">
        <f>IF(Base_de_donnee_articles!A66="","",Base_de_donnee_articles!A66)</f>
        <v>lot de 21 boites</v>
      </c>
      <c r="B66" s="2" t="str">
        <f>IF(Base_de_donnee_articles!B66="","",Base_de_donnee_articles!B66)</f>
        <v>mouchoir 21 boites de 100</v>
      </c>
      <c r="C66" s="2">
        <f t="shared" si="0"/>
        <v>0</v>
      </c>
      <c r="D66" s="2">
        <f t="shared" si="1"/>
        <v>0</v>
      </c>
    </row>
    <row r="67" spans="1:4" x14ac:dyDescent="0.35">
      <c r="A67" s="2" t="str">
        <f>IF(Base_de_donnee_articles!A67="","",Base_de_donnee_articles!A67)</f>
        <v xml:space="preserve">unité    </v>
      </c>
      <c r="B67" s="2" t="str">
        <f>IF(Base_de_donnee_articles!B67="","",Base_de_donnee_articles!B67)</f>
        <v>gant mapa jersetlite parme</v>
      </c>
      <c r="C67" s="2">
        <f t="shared" si="0"/>
        <v>0</v>
      </c>
      <c r="D67" s="2">
        <f t="shared" si="1"/>
        <v>0</v>
      </c>
    </row>
    <row r="68" spans="1:4" x14ac:dyDescent="0.35">
      <c r="A68" s="2" t="str">
        <f>IF(Base_de_donnee_articles!A68="","",Base_de_donnee_articles!A68)</f>
        <v>lot</v>
      </c>
      <c r="B68" s="2" t="str">
        <f>IF(Base_de_donnee_articles!B68="","",Base_de_donnee_articles!B68)</f>
        <v>papier toilette 500cp x 56 rlx</v>
      </c>
      <c r="C68" s="2">
        <f t="shared" si="0"/>
        <v>0</v>
      </c>
      <c r="D68" s="2">
        <f t="shared" si="1"/>
        <v>0</v>
      </c>
    </row>
    <row r="69" spans="1:4" x14ac:dyDescent="0.35">
      <c r="A69" s="2" t="str">
        <f>IF(Base_de_donnee_articles!A69="","",Base_de_donnee_articles!A69)</f>
        <v>1 bouteille</v>
      </c>
      <c r="B69" s="2" t="str">
        <f>IF(Base_de_donnee_articles!B69="","",Base_de_donnee_articles!B69)</f>
        <v>vinaigre blanc 1l BARTHOLUS</v>
      </c>
      <c r="C69" s="2">
        <f t="shared" si="0"/>
        <v>0</v>
      </c>
      <c r="D69" s="2">
        <f t="shared" si="1"/>
        <v>0</v>
      </c>
    </row>
    <row r="70" spans="1:4" x14ac:dyDescent="0.35">
      <c r="A70" s="2" t="str">
        <f>IF(Base_de_donnee_articles!A70="","",Base_de_donnee_articles!A70)</f>
        <v>lot de 6</v>
      </c>
      <c r="B70" s="2" t="str">
        <f>IF(Base_de_donnee_articles!B70="","",Base_de_donnee_articles!B70)</f>
        <v>désodorisant toilettes 750ml x6</v>
      </c>
      <c r="C70" s="2">
        <f t="shared" si="0"/>
        <v>0</v>
      </c>
      <c r="D70" s="2">
        <f t="shared" si="1"/>
        <v>0</v>
      </c>
    </row>
    <row r="71" spans="1:4" x14ac:dyDescent="0.35">
      <c r="A71" s="2" t="str">
        <f>IF(Base_de_donnee_articles!A71="","",Base_de_donnee_articles!A71)</f>
        <v>5l</v>
      </c>
      <c r="B71" s="2" t="str">
        <f>IF(Base_de_donnee_articles!B71="","",Base_de_donnee_articles!B71)</f>
        <v>green-line rincage 5l</v>
      </c>
      <c r="C71" s="2">
        <f t="shared" si="0"/>
        <v>0</v>
      </c>
      <c r="D71" s="2">
        <f t="shared" si="1"/>
        <v>0</v>
      </c>
    </row>
    <row r="72" spans="1:4" x14ac:dyDescent="0.35">
      <c r="A72" s="2" t="str">
        <f>IF(Base_de_donnee_articles!A72="","",Base_de_donnee_articles!A72)</f>
        <v>lot de 12</v>
      </c>
      <c r="B72" s="2" t="str">
        <f>IF(Base_de_donnee_articles!B72="","",Base_de_donnee_articles!B72)</f>
        <v>Nov détartrant Gel Wc 1l x 12</v>
      </c>
      <c r="C72" s="2">
        <f t="shared" si="0"/>
        <v>0</v>
      </c>
      <c r="D72" s="2">
        <f t="shared" si="1"/>
        <v>0</v>
      </c>
    </row>
    <row r="73" spans="1:4" x14ac:dyDescent="0.35">
      <c r="A73" s="2" t="str">
        <f>IF(Base_de_donnee_articles!A73="","",Base_de_donnee_articles!A73)</f>
        <v>lot de 3</v>
      </c>
      <c r="B73" s="2" t="str">
        <f>IF(Base_de_donnee_articles!B73="","",Base_de_donnee_articles!B73)</f>
        <v>eponge gommante x 3</v>
      </c>
      <c r="C73" s="2">
        <f t="shared" ref="C73:C136" si="2">IF(E73="",0,E73)</f>
        <v>0</v>
      </c>
      <c r="D73" s="2">
        <f t="shared" ref="D73:D136" si="3">IF(F73="",0,F73)</f>
        <v>0</v>
      </c>
    </row>
    <row r="74" spans="1:4" x14ac:dyDescent="0.35">
      <c r="A74" s="2" t="str">
        <f>IF(Base_de_donnee_articles!A74="","",Base_de_donnee_articles!A74)</f>
        <v>lot de 10</v>
      </c>
      <c r="B74" s="2" t="str">
        <f>IF(Base_de_donnee_articles!B74="","",Base_de_donnee_articles!B74)</f>
        <v>lavettes microfibre x 10</v>
      </c>
      <c r="C74" s="2">
        <f t="shared" si="2"/>
        <v>0</v>
      </c>
      <c r="D74" s="2">
        <f t="shared" si="3"/>
        <v>0</v>
      </c>
    </row>
    <row r="75" spans="1:4" x14ac:dyDescent="0.35">
      <c r="A75" s="2" t="str">
        <f>IF(Base_de_donnee_articles!A75="","",Base_de_donnee_articles!A75)</f>
        <v>boite de 150</v>
      </c>
      <c r="B75" s="2" t="str">
        <f>IF(Base_de_donnee_articles!B75="","",Base_de_donnee_articles!B75)</f>
        <v>comprimés chlorés x 150</v>
      </c>
      <c r="C75" s="2">
        <f t="shared" si="2"/>
        <v>0</v>
      </c>
      <c r="D75" s="2">
        <f t="shared" si="3"/>
        <v>0</v>
      </c>
    </row>
    <row r="76" spans="1:4" x14ac:dyDescent="0.35">
      <c r="A76" s="2" t="str">
        <f>IF(Base_de_donnee_articles!A76="","",Base_de_donnee_articles!A76)</f>
        <v>sac de 20kg</v>
      </c>
      <c r="B76" s="2" t="str">
        <f>IF(Base_de_donnee_articles!B76="","",Base_de_donnee_articles!B76)</f>
        <v>Activ intense 20kg</v>
      </c>
      <c r="C76" s="2">
        <f t="shared" si="2"/>
        <v>0</v>
      </c>
      <c r="D76" s="2">
        <f t="shared" si="3"/>
        <v>0</v>
      </c>
    </row>
    <row r="77" spans="1:4" x14ac:dyDescent="0.35">
      <c r="A77" s="2" t="str">
        <f>IF(Base_de_donnee_articles!A77="","",Base_de_donnee_articles!A77)</f>
        <v>sac de 25kg</v>
      </c>
      <c r="B77" s="2" t="str">
        <f>IF(Base_de_donnee_articles!B77="","",Base_de_donnee_articles!B77)</f>
        <v>sel adoucisseur en pastille 25kg</v>
      </c>
      <c r="C77" s="2">
        <f t="shared" si="2"/>
        <v>0</v>
      </c>
      <c r="D77" s="2">
        <f t="shared" si="3"/>
        <v>0</v>
      </c>
    </row>
    <row r="78" spans="1:4" x14ac:dyDescent="0.35">
      <c r="A78" s="2" t="str">
        <f>IF(Base_de_donnee_articles!A78="","",Base_de_donnee_articles!A78)</f>
        <v>lot de 10</v>
      </c>
      <c r="B78" s="2" t="str">
        <f>IF(Base_de_donnee_articles!B78="","",Base_de_donnee_articles!B78)</f>
        <v>tampon éponge rose x 10</v>
      </c>
      <c r="C78" s="2">
        <f t="shared" si="2"/>
        <v>0</v>
      </c>
      <c r="D78" s="2">
        <f t="shared" si="3"/>
        <v>0</v>
      </c>
    </row>
    <row r="79" spans="1:4" x14ac:dyDescent="0.35">
      <c r="A79" s="2" t="str">
        <f>IF(Base_de_donnee_articles!A79="","",Base_de_donnee_articles!A79)</f>
        <v>lot de 1000</v>
      </c>
      <c r="B79" s="2" t="str">
        <f>IF(Base_de_donnee_articles!B79="","",Base_de_donnee_articles!B79)</f>
        <v>sac poubelle 20l x 1000</v>
      </c>
      <c r="C79" s="2">
        <f t="shared" si="2"/>
        <v>0</v>
      </c>
      <c r="D79" s="2">
        <f t="shared" si="3"/>
        <v>0</v>
      </c>
    </row>
    <row r="80" spans="1:4" x14ac:dyDescent="0.35">
      <c r="A80" s="2" t="str">
        <f>IF(Base_de_donnee_articles!A80="","",Base_de_donnee_articles!A80)</f>
        <v>lot de 200</v>
      </c>
      <c r="B80" s="2" t="str">
        <f>IF(Base_de_donnee_articles!B80="","",Base_de_donnee_articles!B80)</f>
        <v>sac poubelle 110l x 200</v>
      </c>
      <c r="C80" s="2">
        <f t="shared" si="2"/>
        <v>0</v>
      </c>
      <c r="D80" s="2">
        <f t="shared" si="3"/>
        <v>0</v>
      </c>
    </row>
    <row r="81" spans="1:4" x14ac:dyDescent="0.35">
      <c r="A81" s="2" t="str">
        <f>IF(Base_de_donnee_articles!A81="","",Base_de_donnee_articles!A81)</f>
        <v>lot de 66</v>
      </c>
      <c r="B81" s="2" t="str">
        <f>IF(Base_de_donnee_articles!B81="","",Base_de_donnee_articles!B81)</f>
        <v>sac poubelle 10l x 66</v>
      </c>
      <c r="C81" s="2">
        <f t="shared" si="2"/>
        <v>0</v>
      </c>
      <c r="D81" s="2">
        <f t="shared" si="3"/>
        <v>0</v>
      </c>
    </row>
    <row r="82" spans="1:4" x14ac:dyDescent="0.35">
      <c r="A82" s="2" t="str">
        <f>IF(Base_de_donnee_articles!A82="","",Base_de_donnee_articles!A82)</f>
        <v>lot de 12</v>
      </c>
      <c r="B82" s="2" t="str">
        <f>IF(Base_de_donnee_articles!B82="","",Base_de_donnee_articles!B82)</f>
        <v>alcool ménager citron 1l x 12</v>
      </c>
      <c r="C82" s="2">
        <f t="shared" si="2"/>
        <v>0</v>
      </c>
      <c r="D82" s="2">
        <f t="shared" si="3"/>
        <v>0</v>
      </c>
    </row>
    <row r="83" spans="1:4" x14ac:dyDescent="0.35">
      <c r="A83" s="2" t="str">
        <f>IF(Base_de_donnee_articles!A83="","",Base_de_donnee_articles!A83)</f>
        <v>unité</v>
      </c>
      <c r="B83" s="2" t="str">
        <f>IF(Base_de_donnee_articles!B83="","",Base_de_donnee_articles!B83)</f>
        <v>glass cleaner</v>
      </c>
      <c r="C83" s="2">
        <f t="shared" si="2"/>
        <v>0</v>
      </c>
      <c r="D83" s="2">
        <f t="shared" si="3"/>
        <v>0</v>
      </c>
    </row>
    <row r="84" spans="1:4" x14ac:dyDescent="0.35">
      <c r="A84" s="2" t="str">
        <f>IF(Base_de_donnee_articles!A84="","",Base_de_donnee_articles!A84)</f>
        <v/>
      </c>
      <c r="B84" s="2" t="str">
        <f>IF(Base_de_donnee_articles!B84="","",Base_de_donnee_articles!B84)</f>
        <v/>
      </c>
      <c r="C84" s="2">
        <f t="shared" si="2"/>
        <v>0</v>
      </c>
      <c r="D84" s="2">
        <f t="shared" si="3"/>
        <v>0</v>
      </c>
    </row>
    <row r="85" spans="1:4" x14ac:dyDescent="0.35">
      <c r="A85" s="2" t="str">
        <f>IF(Base_de_donnee_articles!A85="","",Base_de_donnee_articles!A85)</f>
        <v/>
      </c>
      <c r="B85" s="2" t="str">
        <f>IF(Base_de_donnee_articles!B85="","",Base_de_donnee_articles!B85)</f>
        <v/>
      </c>
      <c r="C85" s="2">
        <f t="shared" si="2"/>
        <v>0</v>
      </c>
      <c r="D85" s="2">
        <f t="shared" si="3"/>
        <v>0</v>
      </c>
    </row>
    <row r="86" spans="1:4" x14ac:dyDescent="0.35">
      <c r="A86" s="2" t="str">
        <f>IF(Base_de_donnee_articles!A86="","",Base_de_donnee_articles!A86)</f>
        <v/>
      </c>
      <c r="B86" s="2" t="str">
        <f>IF(Base_de_donnee_articles!B86="","",Base_de_donnee_articles!B86)</f>
        <v/>
      </c>
      <c r="C86" s="2">
        <f t="shared" si="2"/>
        <v>0</v>
      </c>
      <c r="D86" s="2">
        <f t="shared" si="3"/>
        <v>0</v>
      </c>
    </row>
    <row r="87" spans="1:4" x14ac:dyDescent="0.35">
      <c r="A87" s="2" t="str">
        <f>IF(Base_de_donnee_articles!A87="","",Base_de_donnee_articles!A87)</f>
        <v/>
      </c>
      <c r="B87" s="2" t="str">
        <f>IF(Base_de_donnee_articles!B87="","",Base_de_donnee_articles!B87)</f>
        <v/>
      </c>
      <c r="C87" s="2">
        <f t="shared" si="2"/>
        <v>0</v>
      </c>
      <c r="D87" s="2">
        <f t="shared" si="3"/>
        <v>0</v>
      </c>
    </row>
    <row r="88" spans="1:4" x14ac:dyDescent="0.35">
      <c r="A88" s="2" t="str">
        <f>IF(Base_de_donnee_articles!A88="","",Base_de_donnee_articles!A88)</f>
        <v/>
      </c>
      <c r="B88" s="2" t="str">
        <f>IF(Base_de_donnee_articles!B88="","",Base_de_donnee_articles!B88)</f>
        <v/>
      </c>
      <c r="C88" s="2">
        <f t="shared" si="2"/>
        <v>0</v>
      </c>
      <c r="D88" s="2">
        <f t="shared" si="3"/>
        <v>0</v>
      </c>
    </row>
    <row r="89" spans="1:4" x14ac:dyDescent="0.35">
      <c r="A89" s="2" t="str">
        <f>IF(Base_de_donnee_articles!A89="","",Base_de_donnee_articles!A89)</f>
        <v/>
      </c>
      <c r="B89" s="2" t="str">
        <f>IF(Base_de_donnee_articles!B89="","",Base_de_donnee_articles!B89)</f>
        <v/>
      </c>
      <c r="C89" s="2">
        <f t="shared" si="2"/>
        <v>0</v>
      </c>
      <c r="D89" s="2">
        <f t="shared" si="3"/>
        <v>0</v>
      </c>
    </row>
    <row r="90" spans="1:4" x14ac:dyDescent="0.35">
      <c r="A90" s="2" t="str">
        <f>IF(Base_de_donnee_articles!A90="","",Base_de_donnee_articles!A90)</f>
        <v/>
      </c>
      <c r="B90" s="2" t="str">
        <f>IF(Base_de_donnee_articles!B90="","",Base_de_donnee_articles!B90)</f>
        <v/>
      </c>
      <c r="C90" s="2">
        <f t="shared" si="2"/>
        <v>0</v>
      </c>
      <c r="D90" s="2">
        <f t="shared" si="3"/>
        <v>0</v>
      </c>
    </row>
    <row r="91" spans="1:4" x14ac:dyDescent="0.35">
      <c r="A91" s="2" t="str">
        <f>IF(Base_de_donnee_articles!A91="","",Base_de_donnee_articles!A91)</f>
        <v/>
      </c>
      <c r="B91" s="2" t="str">
        <f>IF(Base_de_donnee_articles!B91="","",Base_de_donnee_articles!B91)</f>
        <v/>
      </c>
      <c r="C91" s="2">
        <f t="shared" si="2"/>
        <v>0</v>
      </c>
      <c r="D91" s="2">
        <f t="shared" si="3"/>
        <v>0</v>
      </c>
    </row>
    <row r="92" spans="1:4" x14ac:dyDescent="0.35">
      <c r="A92" s="2" t="str">
        <f>IF(Base_de_donnee_articles!A92="","",Base_de_donnee_articles!A92)</f>
        <v/>
      </c>
      <c r="B92" s="2" t="str">
        <f>IF(Base_de_donnee_articles!B92="","",Base_de_donnee_articles!B92)</f>
        <v/>
      </c>
      <c r="C92" s="2">
        <f t="shared" si="2"/>
        <v>0</v>
      </c>
      <c r="D92" s="2">
        <f t="shared" si="3"/>
        <v>0</v>
      </c>
    </row>
    <row r="93" spans="1:4" x14ac:dyDescent="0.35">
      <c r="A93" s="2" t="str">
        <f>IF(Base_de_donnee_articles!A93="","",Base_de_donnee_articles!A93)</f>
        <v/>
      </c>
      <c r="B93" s="2" t="str">
        <f>IF(Base_de_donnee_articles!B93="","",Base_de_donnee_articles!B93)</f>
        <v/>
      </c>
      <c r="C93" s="2">
        <f t="shared" si="2"/>
        <v>0</v>
      </c>
      <c r="D93" s="2">
        <f t="shared" si="3"/>
        <v>0</v>
      </c>
    </row>
    <row r="94" spans="1:4" x14ac:dyDescent="0.35">
      <c r="A94" s="2" t="str">
        <f>IF(Base_de_donnee_articles!A94="","",Base_de_donnee_articles!A94)</f>
        <v/>
      </c>
      <c r="B94" s="2" t="str">
        <f>IF(Base_de_donnee_articles!B94="","",Base_de_donnee_articles!B94)</f>
        <v/>
      </c>
      <c r="C94" s="2">
        <f t="shared" si="2"/>
        <v>0</v>
      </c>
      <c r="D94" s="2">
        <f t="shared" si="3"/>
        <v>0</v>
      </c>
    </row>
    <row r="95" spans="1:4" x14ac:dyDescent="0.35">
      <c r="A95" s="2" t="str">
        <f>IF(Base_de_donnee_articles!A95="","",Base_de_donnee_articles!A95)</f>
        <v/>
      </c>
      <c r="B95" s="2" t="str">
        <f>IF(Base_de_donnee_articles!B95="","",Base_de_donnee_articles!B95)</f>
        <v/>
      </c>
      <c r="C95" s="2">
        <f t="shared" si="2"/>
        <v>0</v>
      </c>
      <c r="D95" s="2">
        <f t="shared" si="3"/>
        <v>0</v>
      </c>
    </row>
    <row r="96" spans="1:4" x14ac:dyDescent="0.35">
      <c r="A96" s="2" t="str">
        <f>IF(Base_de_donnee_articles!A96="","",Base_de_donnee_articles!A96)</f>
        <v/>
      </c>
      <c r="B96" s="2" t="str">
        <f>IF(Base_de_donnee_articles!B96="","",Base_de_donnee_articles!B96)</f>
        <v/>
      </c>
      <c r="C96" s="2">
        <f t="shared" si="2"/>
        <v>0</v>
      </c>
      <c r="D96" s="2">
        <f t="shared" si="3"/>
        <v>0</v>
      </c>
    </row>
    <row r="97" spans="1:4" x14ac:dyDescent="0.35">
      <c r="A97" s="2" t="str">
        <f>IF(Base_de_donnee_articles!A97="","",Base_de_donnee_articles!A97)</f>
        <v/>
      </c>
      <c r="B97" s="2" t="str">
        <f>IF(Base_de_donnee_articles!B97="","",Base_de_donnee_articles!B97)</f>
        <v/>
      </c>
      <c r="C97" s="2">
        <f t="shared" si="2"/>
        <v>0</v>
      </c>
      <c r="D97" s="2">
        <f t="shared" si="3"/>
        <v>0</v>
      </c>
    </row>
    <row r="98" spans="1:4" x14ac:dyDescent="0.35">
      <c r="A98" s="2" t="str">
        <f>IF(Base_de_donnee_articles!A98="","",Base_de_donnee_articles!A98)</f>
        <v/>
      </c>
      <c r="B98" s="2" t="str">
        <f>IF(Base_de_donnee_articles!B98="","",Base_de_donnee_articles!B98)</f>
        <v/>
      </c>
      <c r="C98" s="2">
        <f t="shared" si="2"/>
        <v>0</v>
      </c>
      <c r="D98" s="2">
        <f t="shared" si="3"/>
        <v>0</v>
      </c>
    </row>
    <row r="99" spans="1:4" x14ac:dyDescent="0.35">
      <c r="A99" s="2" t="str">
        <f>IF(Base_de_donnee_articles!A99="","",Base_de_donnee_articles!A99)</f>
        <v/>
      </c>
      <c r="B99" s="2" t="str">
        <f>IF(Base_de_donnee_articles!B99="","",Base_de_donnee_articles!B99)</f>
        <v/>
      </c>
      <c r="C99" s="2">
        <f t="shared" si="2"/>
        <v>0</v>
      </c>
      <c r="D99" s="2">
        <f t="shared" si="3"/>
        <v>0</v>
      </c>
    </row>
    <row r="100" spans="1:4" x14ac:dyDescent="0.35">
      <c r="A100" s="2" t="str">
        <f>IF(Base_de_donnee_articles!A100="","",Base_de_donnee_articles!A100)</f>
        <v/>
      </c>
      <c r="B100" s="2" t="str">
        <f>IF(Base_de_donnee_articles!B100="","",Base_de_donnee_articles!B100)</f>
        <v/>
      </c>
      <c r="C100" s="2">
        <f t="shared" si="2"/>
        <v>0</v>
      </c>
      <c r="D100" s="2">
        <f t="shared" si="3"/>
        <v>0</v>
      </c>
    </row>
    <row r="101" spans="1:4" x14ac:dyDescent="0.35">
      <c r="A101" s="2" t="str">
        <f>IF(Base_de_donnee_articles!A101="","",Base_de_donnee_articles!A101)</f>
        <v/>
      </c>
      <c r="B101" s="2" t="str">
        <f>IF(Base_de_donnee_articles!B101="","",Base_de_donnee_articles!B101)</f>
        <v/>
      </c>
      <c r="C101" s="2">
        <f t="shared" si="2"/>
        <v>0</v>
      </c>
      <c r="D101" s="2">
        <f t="shared" si="3"/>
        <v>0</v>
      </c>
    </row>
    <row r="102" spans="1:4" x14ac:dyDescent="0.35">
      <c r="A102" s="2" t="str">
        <f>IF(Base_de_donnee_articles!A102="","",Base_de_donnee_articles!A102)</f>
        <v/>
      </c>
      <c r="B102" s="2" t="str">
        <f>IF(Base_de_donnee_articles!B102="","",Base_de_donnee_articles!B102)</f>
        <v/>
      </c>
      <c r="C102" s="2">
        <f t="shared" si="2"/>
        <v>0</v>
      </c>
      <c r="D102" s="2">
        <f t="shared" si="3"/>
        <v>0</v>
      </c>
    </row>
    <row r="103" spans="1:4" x14ac:dyDescent="0.35">
      <c r="A103" s="2" t="str">
        <f>IF(Base_de_donnee_articles!A103="","",Base_de_donnee_articles!A103)</f>
        <v/>
      </c>
      <c r="B103" s="2" t="str">
        <f>IF(Base_de_donnee_articles!B103="","",Base_de_donnee_articles!B103)</f>
        <v/>
      </c>
      <c r="C103" s="2">
        <f t="shared" si="2"/>
        <v>0</v>
      </c>
      <c r="D103" s="2">
        <f t="shared" si="3"/>
        <v>0</v>
      </c>
    </row>
    <row r="104" spans="1:4" x14ac:dyDescent="0.35">
      <c r="A104" s="2" t="str">
        <f>IF(Base_de_donnee_articles!A104="","",Base_de_donnee_articles!A104)</f>
        <v/>
      </c>
      <c r="B104" s="2" t="str">
        <f>IF(Base_de_donnee_articles!B104="","",Base_de_donnee_articles!B104)</f>
        <v/>
      </c>
      <c r="C104" s="2">
        <f t="shared" si="2"/>
        <v>0</v>
      </c>
      <c r="D104" s="2">
        <f t="shared" si="3"/>
        <v>0</v>
      </c>
    </row>
    <row r="105" spans="1:4" x14ac:dyDescent="0.35">
      <c r="A105" s="2" t="str">
        <f>IF(Base_de_donnee_articles!A105="","",Base_de_donnee_articles!A105)</f>
        <v/>
      </c>
      <c r="B105" s="2" t="str">
        <f>IF(Base_de_donnee_articles!B105="","",Base_de_donnee_articles!B105)</f>
        <v/>
      </c>
      <c r="C105" s="2">
        <f t="shared" si="2"/>
        <v>0</v>
      </c>
      <c r="D105" s="2">
        <f t="shared" si="3"/>
        <v>0</v>
      </c>
    </row>
    <row r="106" spans="1:4" x14ac:dyDescent="0.35">
      <c r="A106" s="2" t="str">
        <f>IF(Base_de_donnee_articles!A106="","",Base_de_donnee_articles!A106)</f>
        <v/>
      </c>
      <c r="B106" s="2" t="str">
        <f>IF(Base_de_donnee_articles!B106="","",Base_de_donnee_articles!B106)</f>
        <v/>
      </c>
      <c r="C106" s="2">
        <f t="shared" si="2"/>
        <v>0</v>
      </c>
      <c r="D106" s="2">
        <f t="shared" si="3"/>
        <v>0</v>
      </c>
    </row>
    <row r="107" spans="1:4" x14ac:dyDescent="0.35">
      <c r="A107" s="2" t="str">
        <f>IF(Base_de_donnee_articles!A107="","",Base_de_donnee_articles!A107)</f>
        <v/>
      </c>
      <c r="B107" s="2" t="str">
        <f>IF(Base_de_donnee_articles!B107="","",Base_de_donnee_articles!B107)</f>
        <v/>
      </c>
      <c r="C107" s="2">
        <f t="shared" si="2"/>
        <v>0</v>
      </c>
      <c r="D107" s="2">
        <f t="shared" si="3"/>
        <v>0</v>
      </c>
    </row>
    <row r="108" spans="1:4" x14ac:dyDescent="0.35">
      <c r="A108" s="2" t="str">
        <f>IF(Base_de_donnee_articles!A108="","",Base_de_donnee_articles!A108)</f>
        <v/>
      </c>
      <c r="B108" s="2" t="str">
        <f>IF(Base_de_donnee_articles!B108="","",Base_de_donnee_articles!B108)</f>
        <v/>
      </c>
      <c r="C108" s="2">
        <f t="shared" si="2"/>
        <v>0</v>
      </c>
      <c r="D108" s="2">
        <f t="shared" si="3"/>
        <v>0</v>
      </c>
    </row>
    <row r="109" spans="1:4" x14ac:dyDescent="0.35">
      <c r="A109" s="2" t="str">
        <f>IF(Base_de_donnee_articles!A109="","",Base_de_donnee_articles!A109)</f>
        <v/>
      </c>
      <c r="B109" s="2" t="str">
        <f>IF(Base_de_donnee_articles!B109="","",Base_de_donnee_articles!B109)</f>
        <v/>
      </c>
      <c r="C109" s="2">
        <f t="shared" si="2"/>
        <v>0</v>
      </c>
      <c r="D109" s="2">
        <f t="shared" si="3"/>
        <v>0</v>
      </c>
    </row>
    <row r="110" spans="1:4" x14ac:dyDescent="0.35">
      <c r="A110" s="2" t="str">
        <f>IF(Base_de_donnee_articles!A110="","",Base_de_donnee_articles!A110)</f>
        <v/>
      </c>
      <c r="B110" s="2" t="str">
        <f>IF(Base_de_donnee_articles!B110="","",Base_de_donnee_articles!B110)</f>
        <v/>
      </c>
      <c r="C110" s="2">
        <f t="shared" si="2"/>
        <v>0</v>
      </c>
      <c r="D110" s="2">
        <f t="shared" si="3"/>
        <v>0</v>
      </c>
    </row>
    <row r="111" spans="1:4" x14ac:dyDescent="0.35">
      <c r="A111" s="2" t="str">
        <f>IF(Base_de_donnee_articles!A111="","",Base_de_donnee_articles!A111)</f>
        <v/>
      </c>
      <c r="B111" s="2" t="str">
        <f>IF(Base_de_donnee_articles!B111="","",Base_de_donnee_articles!B111)</f>
        <v/>
      </c>
      <c r="C111" s="2">
        <f t="shared" si="2"/>
        <v>0</v>
      </c>
      <c r="D111" s="2">
        <f t="shared" si="3"/>
        <v>0</v>
      </c>
    </row>
    <row r="112" spans="1:4" x14ac:dyDescent="0.35">
      <c r="A112" s="2" t="str">
        <f>IF(Base_de_donnee_articles!A112="","",Base_de_donnee_articles!A112)</f>
        <v/>
      </c>
      <c r="B112" s="2" t="str">
        <f>IF(Base_de_donnee_articles!B112="","",Base_de_donnee_articles!B112)</f>
        <v/>
      </c>
      <c r="C112" s="2">
        <f t="shared" si="2"/>
        <v>0</v>
      </c>
      <c r="D112" s="2">
        <f t="shared" si="3"/>
        <v>0</v>
      </c>
    </row>
    <row r="113" spans="1:4" x14ac:dyDescent="0.35">
      <c r="A113" s="2" t="str">
        <f>IF(Base_de_donnee_articles!A113="","",Base_de_donnee_articles!A113)</f>
        <v/>
      </c>
      <c r="B113" s="2" t="str">
        <f>IF(Base_de_donnee_articles!B113="","",Base_de_donnee_articles!B113)</f>
        <v/>
      </c>
      <c r="C113" s="2">
        <f t="shared" si="2"/>
        <v>0</v>
      </c>
      <c r="D113" s="2">
        <f t="shared" si="3"/>
        <v>0</v>
      </c>
    </row>
    <row r="114" spans="1:4" x14ac:dyDescent="0.35">
      <c r="A114" s="2" t="str">
        <f>IF(Base_de_donnee_articles!A114="","",Base_de_donnee_articles!A114)</f>
        <v/>
      </c>
      <c r="B114" s="2" t="str">
        <f>IF(Base_de_donnee_articles!B114="","",Base_de_donnee_articles!B114)</f>
        <v/>
      </c>
      <c r="C114" s="2">
        <f t="shared" si="2"/>
        <v>0</v>
      </c>
      <c r="D114" s="2">
        <f t="shared" si="3"/>
        <v>0</v>
      </c>
    </row>
    <row r="115" spans="1:4" x14ac:dyDescent="0.35">
      <c r="A115" s="2" t="str">
        <f>IF(Base_de_donnee_articles!A115="","",Base_de_donnee_articles!A115)</f>
        <v/>
      </c>
      <c r="B115" s="2" t="str">
        <f>IF(Base_de_donnee_articles!B115="","",Base_de_donnee_articles!B115)</f>
        <v/>
      </c>
      <c r="C115" s="2">
        <f t="shared" si="2"/>
        <v>0</v>
      </c>
      <c r="D115" s="2">
        <f t="shared" si="3"/>
        <v>0</v>
      </c>
    </row>
    <row r="116" spans="1:4" x14ac:dyDescent="0.35">
      <c r="A116" s="2" t="str">
        <f>IF(Base_de_donnee_articles!A116="","",Base_de_donnee_articles!A116)</f>
        <v/>
      </c>
      <c r="B116" s="2" t="str">
        <f>IF(Base_de_donnee_articles!B116="","",Base_de_donnee_articles!B116)</f>
        <v/>
      </c>
      <c r="C116" s="2">
        <f t="shared" si="2"/>
        <v>0</v>
      </c>
      <c r="D116" s="2">
        <f t="shared" si="3"/>
        <v>0</v>
      </c>
    </row>
    <row r="117" spans="1:4" x14ac:dyDescent="0.35">
      <c r="A117" s="2" t="str">
        <f>IF(Base_de_donnee_articles!A117="","",Base_de_donnee_articles!A117)</f>
        <v/>
      </c>
      <c r="B117" s="2" t="str">
        <f>IF(Base_de_donnee_articles!B117="","",Base_de_donnee_articles!B117)</f>
        <v/>
      </c>
      <c r="C117" s="2">
        <f t="shared" si="2"/>
        <v>0</v>
      </c>
      <c r="D117" s="2">
        <f t="shared" si="3"/>
        <v>0</v>
      </c>
    </row>
    <row r="118" spans="1:4" x14ac:dyDescent="0.35">
      <c r="A118" s="2" t="str">
        <f>IF(Base_de_donnee_articles!A118="","",Base_de_donnee_articles!A118)</f>
        <v/>
      </c>
      <c r="B118" s="2" t="str">
        <f>IF(Base_de_donnee_articles!B118="","",Base_de_donnee_articles!B118)</f>
        <v/>
      </c>
      <c r="C118" s="2">
        <f t="shared" si="2"/>
        <v>0</v>
      </c>
      <c r="D118" s="2">
        <f t="shared" si="3"/>
        <v>0</v>
      </c>
    </row>
    <row r="119" spans="1:4" x14ac:dyDescent="0.35">
      <c r="A119" s="2" t="str">
        <f>IF(Base_de_donnee_articles!A119="","",Base_de_donnee_articles!A119)</f>
        <v/>
      </c>
      <c r="B119" s="2" t="str">
        <f>IF(Base_de_donnee_articles!B119="","",Base_de_donnee_articles!B119)</f>
        <v/>
      </c>
      <c r="C119" s="2">
        <f t="shared" si="2"/>
        <v>0</v>
      </c>
      <c r="D119" s="2">
        <f t="shared" si="3"/>
        <v>0</v>
      </c>
    </row>
    <row r="120" spans="1:4" x14ac:dyDescent="0.35">
      <c r="A120" s="2" t="str">
        <f>IF(Base_de_donnee_articles!A120="","",Base_de_donnee_articles!A120)</f>
        <v/>
      </c>
      <c r="B120" s="2" t="str">
        <f>IF(Base_de_donnee_articles!B120="","",Base_de_donnee_articles!B120)</f>
        <v/>
      </c>
      <c r="C120" s="2">
        <f t="shared" si="2"/>
        <v>0</v>
      </c>
      <c r="D120" s="2">
        <f t="shared" si="3"/>
        <v>0</v>
      </c>
    </row>
    <row r="121" spans="1:4" x14ac:dyDescent="0.35">
      <c r="A121" s="2" t="str">
        <f>IF(Base_de_donnee_articles!A121="","",Base_de_donnee_articles!A121)</f>
        <v/>
      </c>
      <c r="B121" s="2" t="str">
        <f>IF(Base_de_donnee_articles!B121="","",Base_de_donnee_articles!B121)</f>
        <v/>
      </c>
      <c r="C121" s="2">
        <f t="shared" si="2"/>
        <v>0</v>
      </c>
      <c r="D121" s="2">
        <f t="shared" si="3"/>
        <v>0</v>
      </c>
    </row>
    <row r="122" spans="1:4" x14ac:dyDescent="0.35">
      <c r="A122" s="2" t="str">
        <f>IF(Base_de_donnee_articles!A122="","",Base_de_donnee_articles!A122)</f>
        <v/>
      </c>
      <c r="B122" s="2" t="str">
        <f>IF(Base_de_donnee_articles!B122="","",Base_de_donnee_articles!B122)</f>
        <v/>
      </c>
      <c r="C122" s="2">
        <f t="shared" si="2"/>
        <v>0</v>
      </c>
      <c r="D122" s="2">
        <f t="shared" si="3"/>
        <v>0</v>
      </c>
    </row>
    <row r="123" spans="1:4" x14ac:dyDescent="0.35">
      <c r="A123" s="2" t="str">
        <f>IF(Base_de_donnee_articles!A123="","",Base_de_donnee_articles!A123)</f>
        <v/>
      </c>
      <c r="B123" s="2" t="str">
        <f>IF(Base_de_donnee_articles!B123="","",Base_de_donnee_articles!B123)</f>
        <v/>
      </c>
      <c r="C123" s="2">
        <f t="shared" si="2"/>
        <v>0</v>
      </c>
      <c r="D123" s="2">
        <f t="shared" si="3"/>
        <v>0</v>
      </c>
    </row>
    <row r="124" spans="1:4" x14ac:dyDescent="0.35">
      <c r="A124" s="2" t="str">
        <f>IF(Base_de_donnee_articles!A124="","",Base_de_donnee_articles!A124)</f>
        <v/>
      </c>
      <c r="B124" s="2" t="str">
        <f>IF(Base_de_donnee_articles!B124="","",Base_de_donnee_articles!B124)</f>
        <v/>
      </c>
      <c r="C124" s="2">
        <f t="shared" si="2"/>
        <v>0</v>
      </c>
      <c r="D124" s="2">
        <f t="shared" si="3"/>
        <v>0</v>
      </c>
    </row>
    <row r="125" spans="1:4" x14ac:dyDescent="0.35">
      <c r="A125" s="2" t="str">
        <f>IF(Base_de_donnee_articles!A125="","",Base_de_donnee_articles!A125)</f>
        <v/>
      </c>
      <c r="B125" s="2" t="str">
        <f>IF(Base_de_donnee_articles!B125="","",Base_de_donnee_articles!B125)</f>
        <v/>
      </c>
      <c r="C125" s="2">
        <f t="shared" si="2"/>
        <v>0</v>
      </c>
      <c r="D125" s="2">
        <f t="shared" si="3"/>
        <v>0</v>
      </c>
    </row>
    <row r="126" spans="1:4" x14ac:dyDescent="0.35">
      <c r="A126" s="2" t="str">
        <f>IF(Base_de_donnee_articles!A126="","",Base_de_donnee_articles!A126)</f>
        <v/>
      </c>
      <c r="B126" s="2" t="str">
        <f>IF(Base_de_donnee_articles!B126="","",Base_de_donnee_articles!B126)</f>
        <v/>
      </c>
      <c r="C126" s="2">
        <f t="shared" si="2"/>
        <v>0</v>
      </c>
      <c r="D126" s="2">
        <f t="shared" si="3"/>
        <v>0</v>
      </c>
    </row>
    <row r="127" spans="1:4" x14ac:dyDescent="0.35">
      <c r="A127" s="2" t="str">
        <f>IF(Base_de_donnee_articles!A127="","",Base_de_donnee_articles!A127)</f>
        <v/>
      </c>
      <c r="B127" s="2" t="str">
        <f>IF(Base_de_donnee_articles!B127="","",Base_de_donnee_articles!B127)</f>
        <v/>
      </c>
      <c r="C127" s="2">
        <f t="shared" si="2"/>
        <v>0</v>
      </c>
      <c r="D127" s="2">
        <f t="shared" si="3"/>
        <v>0</v>
      </c>
    </row>
    <row r="128" spans="1:4" x14ac:dyDescent="0.35">
      <c r="A128" s="2" t="str">
        <f>IF(Base_de_donnee_articles!A128="","",Base_de_donnee_articles!A128)</f>
        <v/>
      </c>
      <c r="B128" s="2" t="str">
        <f>IF(Base_de_donnee_articles!B128="","",Base_de_donnee_articles!B128)</f>
        <v/>
      </c>
      <c r="C128" s="2">
        <f t="shared" si="2"/>
        <v>0</v>
      </c>
      <c r="D128" s="2">
        <f t="shared" si="3"/>
        <v>0</v>
      </c>
    </row>
    <row r="129" spans="1:4" x14ac:dyDescent="0.35">
      <c r="A129" s="2" t="str">
        <f>IF(Base_de_donnee_articles!A129="","",Base_de_donnee_articles!A129)</f>
        <v/>
      </c>
      <c r="B129" s="2" t="str">
        <f>IF(Base_de_donnee_articles!B129="","",Base_de_donnee_articles!B129)</f>
        <v/>
      </c>
      <c r="C129" s="2">
        <f t="shared" si="2"/>
        <v>0</v>
      </c>
      <c r="D129" s="2">
        <f t="shared" si="3"/>
        <v>0</v>
      </c>
    </row>
    <row r="130" spans="1:4" x14ac:dyDescent="0.35">
      <c r="A130" s="2" t="str">
        <f>IF(Base_de_donnee_articles!A130="","",Base_de_donnee_articles!A130)</f>
        <v/>
      </c>
      <c r="B130" s="2" t="str">
        <f>IF(Base_de_donnee_articles!B130="","",Base_de_donnee_articles!B130)</f>
        <v/>
      </c>
      <c r="C130" s="2">
        <f t="shared" si="2"/>
        <v>0</v>
      </c>
      <c r="D130" s="2">
        <f t="shared" si="3"/>
        <v>0</v>
      </c>
    </row>
    <row r="131" spans="1:4" x14ac:dyDescent="0.35">
      <c r="A131" s="2" t="str">
        <f>IF(Base_de_donnee_articles!A131="","",Base_de_donnee_articles!A131)</f>
        <v/>
      </c>
      <c r="B131" s="2" t="str">
        <f>IF(Base_de_donnee_articles!B131="","",Base_de_donnee_articles!B131)</f>
        <v/>
      </c>
      <c r="C131" s="2">
        <f t="shared" si="2"/>
        <v>0</v>
      </c>
      <c r="D131" s="2">
        <f t="shared" si="3"/>
        <v>0</v>
      </c>
    </row>
    <row r="132" spans="1:4" x14ac:dyDescent="0.35">
      <c r="A132" s="2" t="str">
        <f>IF(Base_de_donnee_articles!A132="","",Base_de_donnee_articles!A132)</f>
        <v/>
      </c>
      <c r="B132" s="2" t="str">
        <f>IF(Base_de_donnee_articles!B132="","",Base_de_donnee_articles!B132)</f>
        <v/>
      </c>
      <c r="C132" s="2">
        <f t="shared" si="2"/>
        <v>0</v>
      </c>
      <c r="D132" s="2">
        <f t="shared" si="3"/>
        <v>0</v>
      </c>
    </row>
    <row r="133" spans="1:4" x14ac:dyDescent="0.35">
      <c r="A133" s="2" t="str">
        <f>IF(Base_de_donnee_articles!A133="","",Base_de_donnee_articles!A133)</f>
        <v/>
      </c>
      <c r="B133" s="2" t="str">
        <f>IF(Base_de_donnee_articles!B133="","",Base_de_donnee_articles!B133)</f>
        <v/>
      </c>
      <c r="C133" s="2">
        <f t="shared" si="2"/>
        <v>0</v>
      </c>
      <c r="D133" s="2">
        <f t="shared" si="3"/>
        <v>0</v>
      </c>
    </row>
    <row r="134" spans="1:4" x14ac:dyDescent="0.35">
      <c r="A134" s="2" t="str">
        <f>IF(Base_de_donnee_articles!A134="","",Base_de_donnee_articles!A134)</f>
        <v/>
      </c>
      <c r="B134" s="2" t="str">
        <f>IF(Base_de_donnee_articles!B134="","",Base_de_donnee_articles!B134)</f>
        <v/>
      </c>
      <c r="C134" s="2">
        <f t="shared" si="2"/>
        <v>0</v>
      </c>
      <c r="D134" s="2">
        <f t="shared" si="3"/>
        <v>0</v>
      </c>
    </row>
    <row r="135" spans="1:4" x14ac:dyDescent="0.35">
      <c r="A135" s="2" t="str">
        <f>IF(Base_de_donnee_articles!A135="","",Base_de_donnee_articles!A135)</f>
        <v/>
      </c>
      <c r="B135" s="2" t="str">
        <f>IF(Base_de_donnee_articles!B135="","",Base_de_donnee_articles!B135)</f>
        <v/>
      </c>
      <c r="C135" s="2">
        <f t="shared" si="2"/>
        <v>0</v>
      </c>
      <c r="D135" s="2">
        <f t="shared" si="3"/>
        <v>0</v>
      </c>
    </row>
    <row r="136" spans="1:4" x14ac:dyDescent="0.35">
      <c r="A136" s="2" t="str">
        <f>IF(Base_de_donnee_articles!A136="","",Base_de_donnee_articles!A136)</f>
        <v/>
      </c>
      <c r="B136" s="2" t="str">
        <f>IF(Base_de_donnee_articles!B136="","",Base_de_donnee_articles!B136)</f>
        <v/>
      </c>
      <c r="C136" s="2">
        <f t="shared" si="2"/>
        <v>0</v>
      </c>
      <c r="D136" s="2">
        <f t="shared" si="3"/>
        <v>0</v>
      </c>
    </row>
    <row r="137" spans="1:4" x14ac:dyDescent="0.35">
      <c r="A137" s="2" t="str">
        <f>IF(Base_de_donnee_articles!A137="","",Base_de_donnee_articles!A137)</f>
        <v/>
      </c>
      <c r="B137" s="2" t="str">
        <f>IF(Base_de_donnee_articles!B137="","",Base_de_donnee_articles!B137)</f>
        <v/>
      </c>
      <c r="C137" s="2">
        <f t="shared" ref="C137:C200" si="4">IF(E137="",0,E137)</f>
        <v>0</v>
      </c>
      <c r="D137" s="2">
        <f t="shared" ref="D137:D200" si="5">IF(F137="",0,F137)</f>
        <v>0</v>
      </c>
    </row>
    <row r="138" spans="1:4" x14ac:dyDescent="0.35">
      <c r="A138" s="2" t="str">
        <f>IF(Base_de_donnee_articles!A138="","",Base_de_donnee_articles!A138)</f>
        <v/>
      </c>
      <c r="B138" s="2" t="str">
        <f>IF(Base_de_donnee_articles!B138="","",Base_de_donnee_articles!B138)</f>
        <v/>
      </c>
      <c r="C138" s="2">
        <f t="shared" si="4"/>
        <v>0</v>
      </c>
      <c r="D138" s="2">
        <f t="shared" si="5"/>
        <v>0</v>
      </c>
    </row>
    <row r="139" spans="1:4" x14ac:dyDescent="0.35">
      <c r="A139" s="2" t="str">
        <f>IF(Base_de_donnee_articles!A139="","",Base_de_donnee_articles!A139)</f>
        <v/>
      </c>
      <c r="B139" s="2" t="str">
        <f>IF(Base_de_donnee_articles!B139="","",Base_de_donnee_articles!B139)</f>
        <v/>
      </c>
      <c r="C139" s="2">
        <f t="shared" si="4"/>
        <v>0</v>
      </c>
      <c r="D139" s="2">
        <f t="shared" si="5"/>
        <v>0</v>
      </c>
    </row>
    <row r="140" spans="1:4" x14ac:dyDescent="0.35">
      <c r="A140" s="2" t="str">
        <f>IF(Base_de_donnee_articles!A140="","",Base_de_donnee_articles!A140)</f>
        <v/>
      </c>
      <c r="B140" s="2" t="str">
        <f>IF(Base_de_donnee_articles!B140="","",Base_de_donnee_articles!B140)</f>
        <v/>
      </c>
      <c r="C140" s="2">
        <f t="shared" si="4"/>
        <v>0</v>
      </c>
      <c r="D140" s="2">
        <f t="shared" si="5"/>
        <v>0</v>
      </c>
    </row>
    <row r="141" spans="1:4" x14ac:dyDescent="0.35">
      <c r="A141" s="2" t="str">
        <f>IF(Base_de_donnee_articles!A141="","",Base_de_donnee_articles!A141)</f>
        <v/>
      </c>
      <c r="B141" s="2" t="str">
        <f>IF(Base_de_donnee_articles!B141="","",Base_de_donnee_articles!B141)</f>
        <v/>
      </c>
      <c r="C141" s="2">
        <f t="shared" si="4"/>
        <v>0</v>
      </c>
      <c r="D141" s="2">
        <f t="shared" si="5"/>
        <v>0</v>
      </c>
    </row>
    <row r="142" spans="1:4" x14ac:dyDescent="0.35">
      <c r="A142" s="2" t="str">
        <f>IF(Base_de_donnee_articles!A142="","",Base_de_donnee_articles!A142)</f>
        <v/>
      </c>
      <c r="B142" s="2" t="str">
        <f>IF(Base_de_donnee_articles!B142="","",Base_de_donnee_articles!B142)</f>
        <v/>
      </c>
      <c r="C142" s="2">
        <f t="shared" si="4"/>
        <v>0</v>
      </c>
      <c r="D142" s="2">
        <f t="shared" si="5"/>
        <v>0</v>
      </c>
    </row>
    <row r="143" spans="1:4" x14ac:dyDescent="0.35">
      <c r="A143" s="2" t="str">
        <f>IF(Base_de_donnee_articles!A143="","",Base_de_donnee_articles!A143)</f>
        <v/>
      </c>
      <c r="B143" s="2" t="str">
        <f>IF(Base_de_donnee_articles!B143="","",Base_de_donnee_articles!B143)</f>
        <v/>
      </c>
      <c r="C143" s="2">
        <f t="shared" si="4"/>
        <v>0</v>
      </c>
      <c r="D143" s="2">
        <f t="shared" si="5"/>
        <v>0</v>
      </c>
    </row>
    <row r="144" spans="1:4" x14ac:dyDescent="0.35">
      <c r="A144" s="2" t="str">
        <f>IF(Base_de_donnee_articles!A144="","",Base_de_donnee_articles!A144)</f>
        <v/>
      </c>
      <c r="B144" s="2" t="str">
        <f>IF(Base_de_donnee_articles!B144="","",Base_de_donnee_articles!B144)</f>
        <v/>
      </c>
      <c r="C144" s="2">
        <f t="shared" si="4"/>
        <v>0</v>
      </c>
      <c r="D144" s="2">
        <f t="shared" si="5"/>
        <v>0</v>
      </c>
    </row>
    <row r="145" spans="1:4" x14ac:dyDescent="0.35">
      <c r="A145" s="2" t="str">
        <f>IF(Base_de_donnee_articles!A145="","",Base_de_donnee_articles!A145)</f>
        <v/>
      </c>
      <c r="B145" s="2" t="str">
        <f>IF(Base_de_donnee_articles!B145="","",Base_de_donnee_articles!B145)</f>
        <v/>
      </c>
      <c r="C145" s="2">
        <f t="shared" si="4"/>
        <v>0</v>
      </c>
      <c r="D145" s="2">
        <f t="shared" si="5"/>
        <v>0</v>
      </c>
    </row>
    <row r="146" spans="1:4" x14ac:dyDescent="0.35">
      <c r="A146" s="2" t="str">
        <f>IF(Base_de_donnee_articles!A146="","",Base_de_donnee_articles!A146)</f>
        <v/>
      </c>
      <c r="B146" s="2" t="str">
        <f>IF(Base_de_donnee_articles!B146="","",Base_de_donnee_articles!B146)</f>
        <v/>
      </c>
      <c r="C146" s="2">
        <f t="shared" si="4"/>
        <v>0</v>
      </c>
      <c r="D146" s="2">
        <f t="shared" si="5"/>
        <v>0</v>
      </c>
    </row>
    <row r="147" spans="1:4" x14ac:dyDescent="0.35">
      <c r="A147" s="2" t="str">
        <f>IF(Base_de_donnee_articles!A147="","",Base_de_donnee_articles!A147)</f>
        <v/>
      </c>
      <c r="B147" s="2" t="str">
        <f>IF(Base_de_donnee_articles!B147="","",Base_de_donnee_articles!B147)</f>
        <v/>
      </c>
      <c r="C147" s="2">
        <f t="shared" si="4"/>
        <v>0</v>
      </c>
      <c r="D147" s="2">
        <f t="shared" si="5"/>
        <v>0</v>
      </c>
    </row>
    <row r="148" spans="1:4" x14ac:dyDescent="0.35">
      <c r="A148" s="2" t="str">
        <f>IF(Base_de_donnee_articles!A148="","",Base_de_donnee_articles!A148)</f>
        <v/>
      </c>
      <c r="B148" s="2" t="str">
        <f>IF(Base_de_donnee_articles!B148="","",Base_de_donnee_articles!B148)</f>
        <v/>
      </c>
      <c r="C148" s="2">
        <f t="shared" si="4"/>
        <v>0</v>
      </c>
      <c r="D148" s="2">
        <f t="shared" si="5"/>
        <v>0</v>
      </c>
    </row>
    <row r="149" spans="1:4" x14ac:dyDescent="0.35">
      <c r="A149" s="2" t="str">
        <f>IF(Base_de_donnee_articles!A149="","",Base_de_donnee_articles!A149)</f>
        <v/>
      </c>
      <c r="B149" s="2" t="str">
        <f>IF(Base_de_donnee_articles!B149="","",Base_de_donnee_articles!B149)</f>
        <v/>
      </c>
      <c r="C149" s="2">
        <f t="shared" si="4"/>
        <v>0</v>
      </c>
      <c r="D149" s="2">
        <f t="shared" si="5"/>
        <v>0</v>
      </c>
    </row>
    <row r="150" spans="1:4" x14ac:dyDescent="0.35">
      <c r="A150" s="2" t="str">
        <f>IF(Base_de_donnee_articles!A150="","",Base_de_donnee_articles!A150)</f>
        <v/>
      </c>
      <c r="B150" s="2" t="str">
        <f>IF(Base_de_donnee_articles!B150="","",Base_de_donnee_articles!B150)</f>
        <v/>
      </c>
      <c r="C150" s="2">
        <f t="shared" si="4"/>
        <v>0</v>
      </c>
      <c r="D150" s="2">
        <f t="shared" si="5"/>
        <v>0</v>
      </c>
    </row>
    <row r="151" spans="1:4" x14ac:dyDescent="0.35">
      <c r="A151" s="2" t="str">
        <f>IF(Base_de_donnee_articles!A151="","",Base_de_donnee_articles!A151)</f>
        <v/>
      </c>
      <c r="B151" s="2" t="str">
        <f>IF(Base_de_donnee_articles!B151="","",Base_de_donnee_articles!B151)</f>
        <v/>
      </c>
      <c r="C151" s="2">
        <f t="shared" si="4"/>
        <v>0</v>
      </c>
      <c r="D151" s="2">
        <f t="shared" si="5"/>
        <v>0</v>
      </c>
    </row>
    <row r="152" spans="1:4" x14ac:dyDescent="0.35">
      <c r="A152" s="2" t="str">
        <f>IF(Base_de_donnee_articles!A152="","",Base_de_donnee_articles!A152)</f>
        <v/>
      </c>
      <c r="B152" s="2" t="str">
        <f>IF(Base_de_donnee_articles!B152="","",Base_de_donnee_articles!B152)</f>
        <v/>
      </c>
      <c r="C152" s="2">
        <f t="shared" si="4"/>
        <v>0</v>
      </c>
      <c r="D152" s="2">
        <f t="shared" si="5"/>
        <v>0</v>
      </c>
    </row>
    <row r="153" spans="1:4" x14ac:dyDescent="0.35">
      <c r="A153" s="2" t="str">
        <f>IF(Base_de_donnee_articles!A153="","",Base_de_donnee_articles!A153)</f>
        <v/>
      </c>
      <c r="B153" s="2" t="str">
        <f>IF(Base_de_donnee_articles!B153="","",Base_de_donnee_articles!B153)</f>
        <v/>
      </c>
      <c r="C153" s="2">
        <f t="shared" si="4"/>
        <v>0</v>
      </c>
      <c r="D153" s="2">
        <f t="shared" si="5"/>
        <v>0</v>
      </c>
    </row>
    <row r="154" spans="1:4" x14ac:dyDescent="0.35">
      <c r="A154" s="2" t="str">
        <f>IF(Base_de_donnee_articles!A154="","",Base_de_donnee_articles!A154)</f>
        <v/>
      </c>
      <c r="B154" s="2" t="str">
        <f>IF(Base_de_donnee_articles!B154="","",Base_de_donnee_articles!B154)</f>
        <v/>
      </c>
      <c r="C154" s="2">
        <f t="shared" si="4"/>
        <v>0</v>
      </c>
      <c r="D154" s="2">
        <f t="shared" si="5"/>
        <v>0</v>
      </c>
    </row>
    <row r="155" spans="1:4" x14ac:dyDescent="0.35">
      <c r="A155" s="2" t="str">
        <f>IF(Base_de_donnee_articles!A155="","",Base_de_donnee_articles!A155)</f>
        <v/>
      </c>
      <c r="B155" s="2" t="str">
        <f>IF(Base_de_donnee_articles!B155="","",Base_de_donnee_articles!B155)</f>
        <v/>
      </c>
      <c r="C155" s="2">
        <f t="shared" si="4"/>
        <v>0</v>
      </c>
      <c r="D155" s="2">
        <f t="shared" si="5"/>
        <v>0</v>
      </c>
    </row>
    <row r="156" spans="1:4" x14ac:dyDescent="0.35">
      <c r="A156" s="2" t="str">
        <f>IF(Base_de_donnee_articles!A156="","",Base_de_donnee_articles!A156)</f>
        <v/>
      </c>
      <c r="B156" s="2" t="str">
        <f>IF(Base_de_donnee_articles!B156="","",Base_de_donnee_articles!B156)</f>
        <v/>
      </c>
      <c r="C156" s="2">
        <f t="shared" si="4"/>
        <v>0</v>
      </c>
      <c r="D156" s="2">
        <f t="shared" si="5"/>
        <v>0</v>
      </c>
    </row>
    <row r="157" spans="1:4" x14ac:dyDescent="0.35">
      <c r="A157" s="2" t="str">
        <f>IF(Base_de_donnee_articles!A157="","",Base_de_donnee_articles!A157)</f>
        <v/>
      </c>
      <c r="B157" s="2" t="str">
        <f>IF(Base_de_donnee_articles!B157="","",Base_de_donnee_articles!B157)</f>
        <v/>
      </c>
      <c r="C157" s="2">
        <f t="shared" si="4"/>
        <v>0</v>
      </c>
      <c r="D157" s="2">
        <f t="shared" si="5"/>
        <v>0</v>
      </c>
    </row>
    <row r="158" spans="1:4" x14ac:dyDescent="0.35">
      <c r="A158" s="2" t="str">
        <f>IF(Base_de_donnee_articles!A158="","",Base_de_donnee_articles!A158)</f>
        <v/>
      </c>
      <c r="B158" s="2" t="str">
        <f>IF(Base_de_donnee_articles!B158="","",Base_de_donnee_articles!B158)</f>
        <v/>
      </c>
      <c r="C158" s="2">
        <f t="shared" si="4"/>
        <v>0</v>
      </c>
      <c r="D158" s="2">
        <f t="shared" si="5"/>
        <v>0</v>
      </c>
    </row>
    <row r="159" spans="1:4" x14ac:dyDescent="0.35">
      <c r="A159" s="2" t="str">
        <f>IF(Base_de_donnee_articles!A159="","",Base_de_donnee_articles!A159)</f>
        <v/>
      </c>
      <c r="B159" s="2" t="str">
        <f>IF(Base_de_donnee_articles!B159="","",Base_de_donnee_articles!B159)</f>
        <v/>
      </c>
      <c r="C159" s="2">
        <f t="shared" si="4"/>
        <v>0</v>
      </c>
      <c r="D159" s="2">
        <f t="shared" si="5"/>
        <v>0</v>
      </c>
    </row>
    <row r="160" spans="1:4" x14ac:dyDescent="0.35">
      <c r="A160" s="2" t="str">
        <f>IF(Base_de_donnee_articles!A160="","",Base_de_donnee_articles!A160)</f>
        <v/>
      </c>
      <c r="B160" s="2" t="str">
        <f>IF(Base_de_donnee_articles!B160="","",Base_de_donnee_articles!B160)</f>
        <v/>
      </c>
      <c r="C160" s="2">
        <f t="shared" si="4"/>
        <v>0</v>
      </c>
      <c r="D160" s="2">
        <f t="shared" si="5"/>
        <v>0</v>
      </c>
    </row>
    <row r="161" spans="1:4" x14ac:dyDescent="0.35">
      <c r="A161" s="2" t="str">
        <f>IF(Base_de_donnee_articles!A161="","",Base_de_donnee_articles!A161)</f>
        <v/>
      </c>
      <c r="B161" s="2" t="str">
        <f>IF(Base_de_donnee_articles!B161="","",Base_de_donnee_articles!B161)</f>
        <v/>
      </c>
      <c r="C161" s="2">
        <f t="shared" si="4"/>
        <v>0</v>
      </c>
      <c r="D161" s="2">
        <f t="shared" si="5"/>
        <v>0</v>
      </c>
    </row>
    <row r="162" spans="1:4" x14ac:dyDescent="0.35">
      <c r="A162" s="2" t="str">
        <f>IF(Base_de_donnee_articles!A162="","",Base_de_donnee_articles!A162)</f>
        <v/>
      </c>
      <c r="B162" s="2" t="str">
        <f>IF(Base_de_donnee_articles!B162="","",Base_de_donnee_articles!B162)</f>
        <v/>
      </c>
      <c r="C162" s="2">
        <f t="shared" si="4"/>
        <v>0</v>
      </c>
      <c r="D162" s="2">
        <f t="shared" si="5"/>
        <v>0</v>
      </c>
    </row>
    <row r="163" spans="1:4" x14ac:dyDescent="0.35">
      <c r="A163" s="2" t="str">
        <f>IF(Base_de_donnee_articles!A163="","",Base_de_donnee_articles!A163)</f>
        <v/>
      </c>
      <c r="B163" s="2" t="str">
        <f>IF(Base_de_donnee_articles!B163="","",Base_de_donnee_articles!B163)</f>
        <v/>
      </c>
      <c r="C163" s="2">
        <f t="shared" si="4"/>
        <v>0</v>
      </c>
      <c r="D163" s="2">
        <f t="shared" si="5"/>
        <v>0</v>
      </c>
    </row>
    <row r="164" spans="1:4" x14ac:dyDescent="0.35">
      <c r="A164" s="2" t="str">
        <f>IF(Base_de_donnee_articles!A164="","",Base_de_donnee_articles!A164)</f>
        <v/>
      </c>
      <c r="B164" s="2" t="str">
        <f>IF(Base_de_donnee_articles!B164="","",Base_de_donnee_articles!B164)</f>
        <v/>
      </c>
      <c r="C164" s="2">
        <f t="shared" si="4"/>
        <v>0</v>
      </c>
      <c r="D164" s="2">
        <f t="shared" si="5"/>
        <v>0</v>
      </c>
    </row>
    <row r="165" spans="1:4" x14ac:dyDescent="0.35">
      <c r="A165" s="2" t="str">
        <f>IF(Base_de_donnee_articles!A165="","",Base_de_donnee_articles!A165)</f>
        <v/>
      </c>
      <c r="B165" s="2" t="str">
        <f>IF(Base_de_donnee_articles!B165="","",Base_de_donnee_articles!B165)</f>
        <v/>
      </c>
      <c r="C165" s="2">
        <f t="shared" si="4"/>
        <v>0</v>
      </c>
      <c r="D165" s="2">
        <f t="shared" si="5"/>
        <v>0</v>
      </c>
    </row>
    <row r="166" spans="1:4" x14ac:dyDescent="0.35">
      <c r="A166" s="2" t="str">
        <f>IF(Base_de_donnee_articles!A166="","",Base_de_donnee_articles!A166)</f>
        <v/>
      </c>
      <c r="B166" s="2" t="str">
        <f>IF(Base_de_donnee_articles!B166="","",Base_de_donnee_articles!B166)</f>
        <v/>
      </c>
      <c r="C166" s="2">
        <f t="shared" si="4"/>
        <v>0</v>
      </c>
      <c r="D166" s="2">
        <f t="shared" si="5"/>
        <v>0</v>
      </c>
    </row>
    <row r="167" spans="1:4" x14ac:dyDescent="0.35">
      <c r="A167" s="2" t="str">
        <f>IF(Base_de_donnee_articles!A167="","",Base_de_donnee_articles!A167)</f>
        <v/>
      </c>
      <c r="B167" s="2" t="str">
        <f>IF(Base_de_donnee_articles!B167="","",Base_de_donnee_articles!B167)</f>
        <v/>
      </c>
      <c r="C167" s="2">
        <f t="shared" si="4"/>
        <v>0</v>
      </c>
      <c r="D167" s="2">
        <f t="shared" si="5"/>
        <v>0</v>
      </c>
    </row>
    <row r="168" spans="1:4" x14ac:dyDescent="0.35">
      <c r="A168" s="2" t="str">
        <f>IF(Base_de_donnee_articles!A168="","",Base_de_donnee_articles!A168)</f>
        <v/>
      </c>
      <c r="B168" s="2" t="str">
        <f>IF(Base_de_donnee_articles!B168="","",Base_de_donnee_articles!B168)</f>
        <v/>
      </c>
      <c r="C168" s="2">
        <f t="shared" si="4"/>
        <v>0</v>
      </c>
      <c r="D168" s="2">
        <f t="shared" si="5"/>
        <v>0</v>
      </c>
    </row>
    <row r="169" spans="1:4" x14ac:dyDescent="0.35">
      <c r="A169" s="2" t="str">
        <f>IF(Base_de_donnee_articles!A169="","",Base_de_donnee_articles!A169)</f>
        <v/>
      </c>
      <c r="B169" s="2" t="str">
        <f>IF(Base_de_donnee_articles!B169="","",Base_de_donnee_articles!B169)</f>
        <v/>
      </c>
      <c r="C169" s="2">
        <f t="shared" si="4"/>
        <v>0</v>
      </c>
      <c r="D169" s="2">
        <f t="shared" si="5"/>
        <v>0</v>
      </c>
    </row>
    <row r="170" spans="1:4" x14ac:dyDescent="0.35">
      <c r="A170" s="2" t="str">
        <f>IF(Base_de_donnee_articles!A170="","",Base_de_donnee_articles!A170)</f>
        <v/>
      </c>
      <c r="B170" s="2" t="str">
        <f>IF(Base_de_donnee_articles!B170="","",Base_de_donnee_articles!B170)</f>
        <v/>
      </c>
      <c r="C170" s="2">
        <f t="shared" si="4"/>
        <v>0</v>
      </c>
      <c r="D170" s="2">
        <f t="shared" si="5"/>
        <v>0</v>
      </c>
    </row>
    <row r="171" spans="1:4" x14ac:dyDescent="0.35">
      <c r="A171" s="2" t="str">
        <f>IF(Base_de_donnee_articles!A171="","",Base_de_donnee_articles!A171)</f>
        <v/>
      </c>
      <c r="B171" s="2" t="str">
        <f>IF(Base_de_donnee_articles!B171="","",Base_de_donnee_articles!B171)</f>
        <v/>
      </c>
      <c r="C171" s="2">
        <f t="shared" si="4"/>
        <v>0</v>
      </c>
      <c r="D171" s="2">
        <f t="shared" si="5"/>
        <v>0</v>
      </c>
    </row>
    <row r="172" spans="1:4" x14ac:dyDescent="0.35">
      <c r="A172" s="2" t="str">
        <f>IF(Base_de_donnee_articles!A172="","",Base_de_donnee_articles!A172)</f>
        <v/>
      </c>
      <c r="B172" s="2" t="str">
        <f>IF(Base_de_donnee_articles!B172="","",Base_de_donnee_articles!B172)</f>
        <v/>
      </c>
      <c r="C172" s="2">
        <f t="shared" si="4"/>
        <v>0</v>
      </c>
      <c r="D172" s="2">
        <f t="shared" si="5"/>
        <v>0</v>
      </c>
    </row>
    <row r="173" spans="1:4" x14ac:dyDescent="0.35">
      <c r="A173" s="2" t="str">
        <f>IF(Base_de_donnee_articles!A173="","",Base_de_donnee_articles!A173)</f>
        <v/>
      </c>
      <c r="B173" s="2" t="str">
        <f>IF(Base_de_donnee_articles!B173="","",Base_de_donnee_articles!B173)</f>
        <v/>
      </c>
      <c r="C173" s="2">
        <f t="shared" si="4"/>
        <v>0</v>
      </c>
      <c r="D173" s="2">
        <f t="shared" si="5"/>
        <v>0</v>
      </c>
    </row>
    <row r="174" spans="1:4" x14ac:dyDescent="0.35">
      <c r="A174" s="2" t="str">
        <f>IF(Base_de_donnee_articles!A174="","",Base_de_donnee_articles!A174)</f>
        <v/>
      </c>
      <c r="B174" s="2" t="str">
        <f>IF(Base_de_donnee_articles!B174="","",Base_de_donnee_articles!B174)</f>
        <v/>
      </c>
      <c r="C174" s="2">
        <f t="shared" si="4"/>
        <v>0</v>
      </c>
      <c r="D174" s="2">
        <f t="shared" si="5"/>
        <v>0</v>
      </c>
    </row>
    <row r="175" spans="1:4" x14ac:dyDescent="0.35">
      <c r="A175" s="2" t="str">
        <f>IF(Base_de_donnee_articles!A175="","",Base_de_donnee_articles!A175)</f>
        <v/>
      </c>
      <c r="B175" s="2" t="str">
        <f>IF(Base_de_donnee_articles!B175="","",Base_de_donnee_articles!B175)</f>
        <v/>
      </c>
      <c r="C175" s="2">
        <f t="shared" si="4"/>
        <v>0</v>
      </c>
      <c r="D175" s="2">
        <f t="shared" si="5"/>
        <v>0</v>
      </c>
    </row>
    <row r="176" spans="1:4" x14ac:dyDescent="0.35">
      <c r="A176" s="2" t="str">
        <f>IF(Base_de_donnee_articles!A176="","",Base_de_donnee_articles!A176)</f>
        <v/>
      </c>
      <c r="B176" s="2" t="str">
        <f>IF(Base_de_donnee_articles!B176="","",Base_de_donnee_articles!B176)</f>
        <v/>
      </c>
      <c r="C176" s="2">
        <f t="shared" si="4"/>
        <v>0</v>
      </c>
      <c r="D176" s="2">
        <f t="shared" si="5"/>
        <v>0</v>
      </c>
    </row>
    <row r="177" spans="1:4" x14ac:dyDescent="0.35">
      <c r="A177" s="2" t="str">
        <f>IF(Base_de_donnee_articles!A177="","",Base_de_donnee_articles!A177)</f>
        <v/>
      </c>
      <c r="B177" s="2" t="str">
        <f>IF(Base_de_donnee_articles!B177="","",Base_de_donnee_articles!B177)</f>
        <v/>
      </c>
      <c r="C177" s="2">
        <f t="shared" si="4"/>
        <v>0</v>
      </c>
      <c r="D177" s="2">
        <f t="shared" si="5"/>
        <v>0</v>
      </c>
    </row>
    <row r="178" spans="1:4" x14ac:dyDescent="0.35">
      <c r="A178" s="2" t="str">
        <f>IF(Base_de_donnee_articles!A178="","",Base_de_donnee_articles!A178)</f>
        <v/>
      </c>
      <c r="B178" s="2" t="str">
        <f>IF(Base_de_donnee_articles!B178="","",Base_de_donnee_articles!B178)</f>
        <v/>
      </c>
      <c r="C178" s="2">
        <f t="shared" si="4"/>
        <v>0</v>
      </c>
      <c r="D178" s="2">
        <f t="shared" si="5"/>
        <v>0</v>
      </c>
    </row>
    <row r="179" spans="1:4" x14ac:dyDescent="0.35">
      <c r="A179" s="2" t="str">
        <f>IF(Base_de_donnee_articles!A179="","",Base_de_donnee_articles!A179)</f>
        <v/>
      </c>
      <c r="B179" s="2" t="str">
        <f>IF(Base_de_donnee_articles!B179="","",Base_de_donnee_articles!B179)</f>
        <v/>
      </c>
      <c r="C179" s="2">
        <f t="shared" si="4"/>
        <v>0</v>
      </c>
      <c r="D179" s="2">
        <f t="shared" si="5"/>
        <v>0</v>
      </c>
    </row>
    <row r="180" spans="1:4" x14ac:dyDescent="0.35">
      <c r="A180" s="2" t="str">
        <f>IF(Base_de_donnee_articles!A180="","",Base_de_donnee_articles!A180)</f>
        <v/>
      </c>
      <c r="B180" s="2" t="str">
        <f>IF(Base_de_donnee_articles!B180="","",Base_de_donnee_articles!B180)</f>
        <v/>
      </c>
      <c r="C180" s="2">
        <f t="shared" si="4"/>
        <v>0</v>
      </c>
      <c r="D180" s="2">
        <f t="shared" si="5"/>
        <v>0</v>
      </c>
    </row>
    <row r="181" spans="1:4" x14ac:dyDescent="0.35">
      <c r="A181" s="2" t="str">
        <f>IF(Base_de_donnee_articles!A181="","",Base_de_donnee_articles!A181)</f>
        <v/>
      </c>
      <c r="B181" s="2" t="str">
        <f>IF(Base_de_donnee_articles!B181="","",Base_de_donnee_articles!B181)</f>
        <v/>
      </c>
      <c r="C181" s="2">
        <f t="shared" si="4"/>
        <v>0</v>
      </c>
      <c r="D181" s="2">
        <f t="shared" si="5"/>
        <v>0</v>
      </c>
    </row>
    <row r="182" spans="1:4" x14ac:dyDescent="0.35">
      <c r="A182" s="2" t="str">
        <f>IF(Base_de_donnee_articles!A182="","",Base_de_donnee_articles!A182)</f>
        <v/>
      </c>
      <c r="B182" s="2" t="str">
        <f>IF(Base_de_donnee_articles!B182="","",Base_de_donnee_articles!B182)</f>
        <v/>
      </c>
      <c r="C182" s="2">
        <f t="shared" si="4"/>
        <v>0</v>
      </c>
      <c r="D182" s="2">
        <f t="shared" si="5"/>
        <v>0</v>
      </c>
    </row>
    <row r="183" spans="1:4" x14ac:dyDescent="0.35">
      <c r="A183" s="2" t="str">
        <f>IF(Base_de_donnee_articles!A183="","",Base_de_donnee_articles!A183)</f>
        <v/>
      </c>
      <c r="B183" s="2" t="str">
        <f>IF(Base_de_donnee_articles!B183="","",Base_de_donnee_articles!B183)</f>
        <v/>
      </c>
      <c r="C183" s="2">
        <f t="shared" si="4"/>
        <v>0</v>
      </c>
      <c r="D183" s="2">
        <f t="shared" si="5"/>
        <v>0</v>
      </c>
    </row>
    <row r="184" spans="1:4" x14ac:dyDescent="0.35">
      <c r="A184" s="2" t="str">
        <f>IF(Base_de_donnee_articles!A184="","",Base_de_donnee_articles!A184)</f>
        <v/>
      </c>
      <c r="B184" s="2" t="str">
        <f>IF(Base_de_donnee_articles!B184="","",Base_de_donnee_articles!B184)</f>
        <v/>
      </c>
      <c r="C184" s="2">
        <f t="shared" si="4"/>
        <v>0</v>
      </c>
      <c r="D184" s="2">
        <f t="shared" si="5"/>
        <v>0</v>
      </c>
    </row>
    <row r="185" spans="1:4" x14ac:dyDescent="0.35">
      <c r="A185" s="2" t="str">
        <f>IF(Base_de_donnee_articles!A185="","",Base_de_donnee_articles!A185)</f>
        <v/>
      </c>
      <c r="B185" s="2" t="str">
        <f>IF(Base_de_donnee_articles!B185="","",Base_de_donnee_articles!B185)</f>
        <v/>
      </c>
      <c r="C185" s="2">
        <f t="shared" si="4"/>
        <v>0</v>
      </c>
      <c r="D185" s="2">
        <f t="shared" si="5"/>
        <v>0</v>
      </c>
    </row>
    <row r="186" spans="1:4" x14ac:dyDescent="0.35">
      <c r="A186" s="2" t="str">
        <f>IF(Base_de_donnee_articles!A186="","",Base_de_donnee_articles!A186)</f>
        <v/>
      </c>
      <c r="B186" s="2" t="str">
        <f>IF(Base_de_donnee_articles!B186="","",Base_de_donnee_articles!B186)</f>
        <v/>
      </c>
      <c r="C186" s="2">
        <f t="shared" si="4"/>
        <v>0</v>
      </c>
      <c r="D186" s="2">
        <f t="shared" si="5"/>
        <v>0</v>
      </c>
    </row>
    <row r="187" spans="1:4" x14ac:dyDescent="0.35">
      <c r="A187" s="2" t="str">
        <f>IF(Base_de_donnee_articles!A187="","",Base_de_donnee_articles!A187)</f>
        <v/>
      </c>
      <c r="B187" s="2" t="str">
        <f>IF(Base_de_donnee_articles!B187="","",Base_de_donnee_articles!B187)</f>
        <v/>
      </c>
      <c r="C187" s="2">
        <f t="shared" si="4"/>
        <v>0</v>
      </c>
      <c r="D187" s="2">
        <f t="shared" si="5"/>
        <v>0</v>
      </c>
    </row>
    <row r="188" spans="1:4" x14ac:dyDescent="0.35">
      <c r="A188" s="2" t="str">
        <f>IF(Base_de_donnee_articles!A188="","",Base_de_donnee_articles!A188)</f>
        <v/>
      </c>
      <c r="B188" s="2" t="str">
        <f>IF(Base_de_donnee_articles!B188="","",Base_de_donnee_articles!B188)</f>
        <v/>
      </c>
      <c r="C188" s="2">
        <f t="shared" si="4"/>
        <v>0</v>
      </c>
      <c r="D188" s="2">
        <f t="shared" si="5"/>
        <v>0</v>
      </c>
    </row>
    <row r="189" spans="1:4" x14ac:dyDescent="0.35">
      <c r="A189" s="2" t="str">
        <f>IF(Base_de_donnee_articles!A189="","",Base_de_donnee_articles!A189)</f>
        <v/>
      </c>
      <c r="B189" s="2" t="str">
        <f>IF(Base_de_donnee_articles!B189="","",Base_de_donnee_articles!B189)</f>
        <v/>
      </c>
      <c r="C189" s="2">
        <f t="shared" si="4"/>
        <v>0</v>
      </c>
      <c r="D189" s="2">
        <f t="shared" si="5"/>
        <v>0</v>
      </c>
    </row>
    <row r="190" spans="1:4" x14ac:dyDescent="0.35">
      <c r="A190" s="2" t="str">
        <f>IF(Base_de_donnee_articles!A190="","",Base_de_donnee_articles!A190)</f>
        <v/>
      </c>
      <c r="B190" s="2" t="str">
        <f>IF(Base_de_donnee_articles!B190="","",Base_de_donnee_articles!B190)</f>
        <v/>
      </c>
      <c r="C190" s="2">
        <f t="shared" si="4"/>
        <v>0</v>
      </c>
      <c r="D190" s="2">
        <f t="shared" si="5"/>
        <v>0</v>
      </c>
    </row>
    <row r="191" spans="1:4" x14ac:dyDescent="0.35">
      <c r="A191" s="2" t="str">
        <f>IF(Base_de_donnee_articles!A191="","",Base_de_donnee_articles!A191)</f>
        <v/>
      </c>
      <c r="B191" s="2" t="str">
        <f>IF(Base_de_donnee_articles!B191="","",Base_de_donnee_articles!B191)</f>
        <v/>
      </c>
      <c r="C191" s="2">
        <f t="shared" si="4"/>
        <v>0</v>
      </c>
      <c r="D191" s="2">
        <f t="shared" si="5"/>
        <v>0</v>
      </c>
    </row>
    <row r="192" spans="1:4" x14ac:dyDescent="0.35">
      <c r="A192" s="2" t="str">
        <f>IF(Base_de_donnee_articles!A192="","",Base_de_donnee_articles!A192)</f>
        <v/>
      </c>
      <c r="B192" s="2" t="str">
        <f>IF(Base_de_donnee_articles!B192="","",Base_de_donnee_articles!B192)</f>
        <v/>
      </c>
      <c r="C192" s="2">
        <f t="shared" si="4"/>
        <v>0</v>
      </c>
      <c r="D192" s="2">
        <f t="shared" si="5"/>
        <v>0</v>
      </c>
    </row>
    <row r="193" spans="1:4" x14ac:dyDescent="0.35">
      <c r="A193" s="2" t="str">
        <f>IF(Base_de_donnee_articles!A193="","",Base_de_donnee_articles!A193)</f>
        <v/>
      </c>
      <c r="B193" s="2" t="str">
        <f>IF(Base_de_donnee_articles!B193="","",Base_de_donnee_articles!B193)</f>
        <v/>
      </c>
      <c r="C193" s="2">
        <f t="shared" si="4"/>
        <v>0</v>
      </c>
      <c r="D193" s="2">
        <f t="shared" si="5"/>
        <v>0</v>
      </c>
    </row>
    <row r="194" spans="1:4" x14ac:dyDescent="0.35">
      <c r="A194" s="2" t="str">
        <f>IF(Base_de_donnee_articles!A194="","",Base_de_donnee_articles!A194)</f>
        <v/>
      </c>
      <c r="B194" s="2" t="str">
        <f>IF(Base_de_donnee_articles!B194="","",Base_de_donnee_articles!B194)</f>
        <v/>
      </c>
      <c r="C194" s="2">
        <f t="shared" si="4"/>
        <v>0</v>
      </c>
      <c r="D194" s="2">
        <f t="shared" si="5"/>
        <v>0</v>
      </c>
    </row>
    <row r="195" spans="1:4" x14ac:dyDescent="0.35">
      <c r="A195" s="2" t="str">
        <f>IF(Base_de_donnee_articles!A195="","",Base_de_donnee_articles!A195)</f>
        <v/>
      </c>
      <c r="B195" s="2" t="str">
        <f>IF(Base_de_donnee_articles!B195="","",Base_de_donnee_articles!B195)</f>
        <v/>
      </c>
      <c r="C195" s="2">
        <f t="shared" si="4"/>
        <v>0</v>
      </c>
      <c r="D195" s="2">
        <f t="shared" si="5"/>
        <v>0</v>
      </c>
    </row>
    <row r="196" spans="1:4" x14ac:dyDescent="0.35">
      <c r="A196" s="2" t="str">
        <f>IF(Base_de_donnee_articles!A196="","",Base_de_donnee_articles!A196)</f>
        <v/>
      </c>
      <c r="B196" s="2" t="str">
        <f>IF(Base_de_donnee_articles!B196="","",Base_de_donnee_articles!B196)</f>
        <v/>
      </c>
      <c r="C196" s="2">
        <f t="shared" si="4"/>
        <v>0</v>
      </c>
      <c r="D196" s="2">
        <f t="shared" si="5"/>
        <v>0</v>
      </c>
    </row>
    <row r="197" spans="1:4" x14ac:dyDescent="0.35">
      <c r="A197" s="2" t="str">
        <f>IF(Base_de_donnee_articles!A197="","",Base_de_donnee_articles!A197)</f>
        <v/>
      </c>
      <c r="B197" s="2" t="str">
        <f>IF(Base_de_donnee_articles!B197="","",Base_de_donnee_articles!B197)</f>
        <v/>
      </c>
      <c r="C197" s="2">
        <f t="shared" si="4"/>
        <v>0</v>
      </c>
      <c r="D197" s="2">
        <f t="shared" si="5"/>
        <v>0</v>
      </c>
    </row>
    <row r="198" spans="1:4" x14ac:dyDescent="0.35">
      <c r="A198" s="2" t="str">
        <f>IF(Base_de_donnee_articles!A198="","",Base_de_donnee_articles!A198)</f>
        <v/>
      </c>
      <c r="B198" s="2" t="str">
        <f>IF(Base_de_donnee_articles!B198="","",Base_de_donnee_articles!B198)</f>
        <v/>
      </c>
      <c r="C198" s="2">
        <f t="shared" si="4"/>
        <v>0</v>
      </c>
      <c r="D198" s="2">
        <f t="shared" si="5"/>
        <v>0</v>
      </c>
    </row>
    <row r="199" spans="1:4" x14ac:dyDescent="0.35">
      <c r="A199" s="2" t="str">
        <f>IF(Base_de_donnee_articles!A199="","",Base_de_donnee_articles!A199)</f>
        <v/>
      </c>
      <c r="B199" s="2" t="str">
        <f>IF(Base_de_donnee_articles!B199="","",Base_de_donnee_articles!B199)</f>
        <v/>
      </c>
      <c r="C199" s="2">
        <f t="shared" si="4"/>
        <v>0</v>
      </c>
      <c r="D199" s="2">
        <f t="shared" si="5"/>
        <v>0</v>
      </c>
    </row>
    <row r="200" spans="1:4" x14ac:dyDescent="0.35">
      <c r="A200" s="2" t="str">
        <f>IF(Base_de_donnee_articles!A200="","",Base_de_donnee_articles!A200)</f>
        <v/>
      </c>
      <c r="B200" s="2" t="str">
        <f>IF(Base_de_donnee_articles!B200="","",Base_de_donnee_articles!B200)</f>
        <v/>
      </c>
      <c r="C200" s="2">
        <f t="shared" si="4"/>
        <v>0</v>
      </c>
      <c r="D200" s="2">
        <f t="shared" si="5"/>
        <v>0</v>
      </c>
    </row>
    <row r="201" spans="1:4" x14ac:dyDescent="0.35">
      <c r="A201" s="2" t="str">
        <f>IF(Base_de_donnee_articles!A201="","",Base_de_donnee_articles!A201)</f>
        <v/>
      </c>
      <c r="B201" s="2" t="str">
        <f>IF(Base_de_donnee_articles!B201="","",Base_de_donnee_articles!B201)</f>
        <v/>
      </c>
      <c r="C201" s="2">
        <f t="shared" ref="C201:C264" si="6">IF(E201="",0,E201)</f>
        <v>0</v>
      </c>
      <c r="D201" s="2">
        <f t="shared" ref="D201:D264" si="7">IF(F201="",0,F201)</f>
        <v>0</v>
      </c>
    </row>
    <row r="202" spans="1:4" x14ac:dyDescent="0.35">
      <c r="A202" s="2" t="str">
        <f>IF(Base_de_donnee_articles!A202="","",Base_de_donnee_articles!A202)</f>
        <v/>
      </c>
      <c r="B202" s="2" t="str">
        <f>IF(Base_de_donnee_articles!B202="","",Base_de_donnee_articles!B202)</f>
        <v/>
      </c>
      <c r="C202" s="2">
        <f t="shared" si="6"/>
        <v>0</v>
      </c>
      <c r="D202" s="2">
        <f t="shared" si="7"/>
        <v>0</v>
      </c>
    </row>
    <row r="203" spans="1:4" x14ac:dyDescent="0.35">
      <c r="A203" s="2" t="str">
        <f>IF(Base_de_donnee_articles!A203="","",Base_de_donnee_articles!A203)</f>
        <v/>
      </c>
      <c r="B203" s="2" t="str">
        <f>IF(Base_de_donnee_articles!B203="","",Base_de_donnee_articles!B203)</f>
        <v/>
      </c>
      <c r="C203" s="2">
        <f t="shared" si="6"/>
        <v>0</v>
      </c>
      <c r="D203" s="2">
        <f t="shared" si="7"/>
        <v>0</v>
      </c>
    </row>
    <row r="204" spans="1:4" x14ac:dyDescent="0.35">
      <c r="A204" s="2" t="str">
        <f>IF(Base_de_donnee_articles!A204="","",Base_de_donnee_articles!A204)</f>
        <v/>
      </c>
      <c r="B204" s="2" t="str">
        <f>IF(Base_de_donnee_articles!B204="","",Base_de_donnee_articles!B204)</f>
        <v/>
      </c>
      <c r="C204" s="2">
        <f t="shared" si="6"/>
        <v>0</v>
      </c>
      <c r="D204" s="2">
        <f t="shared" si="7"/>
        <v>0</v>
      </c>
    </row>
    <row r="205" spans="1:4" x14ac:dyDescent="0.35">
      <c r="A205" s="2" t="str">
        <f>IF(Base_de_donnee_articles!A205="","",Base_de_donnee_articles!A205)</f>
        <v/>
      </c>
      <c r="B205" s="2" t="str">
        <f>IF(Base_de_donnee_articles!B205="","",Base_de_donnee_articles!B205)</f>
        <v/>
      </c>
      <c r="C205" s="2">
        <f t="shared" si="6"/>
        <v>0</v>
      </c>
      <c r="D205" s="2">
        <f t="shared" si="7"/>
        <v>0</v>
      </c>
    </row>
    <row r="206" spans="1:4" x14ac:dyDescent="0.35">
      <c r="A206" s="2" t="str">
        <f>IF(Base_de_donnee_articles!A206="","",Base_de_donnee_articles!A206)</f>
        <v/>
      </c>
      <c r="B206" s="2" t="str">
        <f>IF(Base_de_donnee_articles!B206="","",Base_de_donnee_articles!B206)</f>
        <v/>
      </c>
      <c r="C206" s="2">
        <f t="shared" si="6"/>
        <v>0</v>
      </c>
      <c r="D206" s="2">
        <f t="shared" si="7"/>
        <v>0</v>
      </c>
    </row>
    <row r="207" spans="1:4" x14ac:dyDescent="0.35">
      <c r="A207" s="2" t="str">
        <f>IF(Base_de_donnee_articles!A207="","",Base_de_donnee_articles!A207)</f>
        <v/>
      </c>
      <c r="B207" s="2" t="str">
        <f>IF(Base_de_donnee_articles!B207="","",Base_de_donnee_articles!B207)</f>
        <v/>
      </c>
      <c r="C207" s="2">
        <f t="shared" si="6"/>
        <v>0</v>
      </c>
      <c r="D207" s="2">
        <f t="shared" si="7"/>
        <v>0</v>
      </c>
    </row>
    <row r="208" spans="1:4" x14ac:dyDescent="0.35">
      <c r="A208" s="2" t="str">
        <f>IF(Base_de_donnee_articles!A208="","",Base_de_donnee_articles!A208)</f>
        <v/>
      </c>
      <c r="B208" s="2" t="str">
        <f>IF(Base_de_donnee_articles!B208="","",Base_de_donnee_articles!B208)</f>
        <v/>
      </c>
      <c r="C208" s="2">
        <f t="shared" si="6"/>
        <v>0</v>
      </c>
      <c r="D208" s="2">
        <f t="shared" si="7"/>
        <v>0</v>
      </c>
    </row>
    <row r="209" spans="1:4" x14ac:dyDescent="0.35">
      <c r="A209" s="2" t="str">
        <f>IF(Base_de_donnee_articles!A209="","",Base_de_donnee_articles!A209)</f>
        <v/>
      </c>
      <c r="B209" s="2" t="str">
        <f>IF(Base_de_donnee_articles!B209="","",Base_de_donnee_articles!B209)</f>
        <v/>
      </c>
      <c r="C209" s="2">
        <f t="shared" si="6"/>
        <v>0</v>
      </c>
      <c r="D209" s="2">
        <f t="shared" si="7"/>
        <v>0</v>
      </c>
    </row>
    <row r="210" spans="1:4" x14ac:dyDescent="0.35">
      <c r="A210" s="2" t="str">
        <f>IF(Base_de_donnee_articles!A210="","",Base_de_donnee_articles!A210)</f>
        <v/>
      </c>
      <c r="B210" s="2" t="str">
        <f>IF(Base_de_donnee_articles!B210="","",Base_de_donnee_articles!B210)</f>
        <v/>
      </c>
      <c r="C210" s="2">
        <f t="shared" si="6"/>
        <v>0</v>
      </c>
      <c r="D210" s="2">
        <f t="shared" si="7"/>
        <v>0</v>
      </c>
    </row>
    <row r="211" spans="1:4" x14ac:dyDescent="0.35">
      <c r="A211" s="2" t="str">
        <f>IF(Base_de_donnee_articles!A211="","",Base_de_donnee_articles!A211)</f>
        <v/>
      </c>
      <c r="B211" s="2" t="str">
        <f>IF(Base_de_donnee_articles!B211="","",Base_de_donnee_articles!B211)</f>
        <v/>
      </c>
      <c r="C211" s="2">
        <f t="shared" si="6"/>
        <v>0</v>
      </c>
      <c r="D211" s="2">
        <f t="shared" si="7"/>
        <v>0</v>
      </c>
    </row>
    <row r="212" spans="1:4" x14ac:dyDescent="0.35">
      <c r="A212" s="2" t="str">
        <f>IF(Base_de_donnee_articles!A212="","",Base_de_donnee_articles!A212)</f>
        <v/>
      </c>
      <c r="B212" s="2" t="str">
        <f>IF(Base_de_donnee_articles!B212="","",Base_de_donnee_articles!B212)</f>
        <v/>
      </c>
      <c r="C212" s="2">
        <f t="shared" si="6"/>
        <v>0</v>
      </c>
      <c r="D212" s="2">
        <f t="shared" si="7"/>
        <v>0</v>
      </c>
    </row>
    <row r="213" spans="1:4" x14ac:dyDescent="0.35">
      <c r="A213" s="2" t="str">
        <f>IF(Base_de_donnee_articles!A213="","",Base_de_donnee_articles!A213)</f>
        <v/>
      </c>
      <c r="B213" s="2" t="str">
        <f>IF(Base_de_donnee_articles!B213="","",Base_de_donnee_articles!B213)</f>
        <v/>
      </c>
      <c r="C213" s="2">
        <f t="shared" si="6"/>
        <v>0</v>
      </c>
      <c r="D213" s="2">
        <f t="shared" si="7"/>
        <v>0</v>
      </c>
    </row>
    <row r="214" spans="1:4" x14ac:dyDescent="0.35">
      <c r="A214" s="2" t="str">
        <f>IF(Base_de_donnee_articles!A214="","",Base_de_donnee_articles!A214)</f>
        <v/>
      </c>
      <c r="B214" s="2" t="str">
        <f>IF(Base_de_donnee_articles!B214="","",Base_de_donnee_articles!B214)</f>
        <v/>
      </c>
      <c r="C214" s="2">
        <f t="shared" si="6"/>
        <v>0</v>
      </c>
      <c r="D214" s="2">
        <f t="shared" si="7"/>
        <v>0</v>
      </c>
    </row>
    <row r="215" spans="1:4" x14ac:dyDescent="0.35">
      <c r="A215" s="2" t="str">
        <f>IF(Base_de_donnee_articles!A215="","",Base_de_donnee_articles!A215)</f>
        <v/>
      </c>
      <c r="B215" s="2" t="str">
        <f>IF(Base_de_donnee_articles!B215="","",Base_de_donnee_articles!B215)</f>
        <v/>
      </c>
      <c r="C215" s="2">
        <f t="shared" si="6"/>
        <v>0</v>
      </c>
      <c r="D215" s="2">
        <f t="shared" si="7"/>
        <v>0</v>
      </c>
    </row>
    <row r="216" spans="1:4" x14ac:dyDescent="0.35">
      <c r="A216" s="2" t="str">
        <f>IF(Base_de_donnee_articles!A216="","",Base_de_donnee_articles!A216)</f>
        <v/>
      </c>
      <c r="B216" s="2" t="str">
        <f>IF(Base_de_donnee_articles!B216="","",Base_de_donnee_articles!B216)</f>
        <v/>
      </c>
      <c r="C216" s="2">
        <f t="shared" si="6"/>
        <v>0</v>
      </c>
      <c r="D216" s="2">
        <f t="shared" si="7"/>
        <v>0</v>
      </c>
    </row>
    <row r="217" spans="1:4" x14ac:dyDescent="0.35">
      <c r="A217" s="2" t="str">
        <f>IF(Base_de_donnee_articles!A217="","",Base_de_donnee_articles!A217)</f>
        <v/>
      </c>
      <c r="B217" s="2" t="str">
        <f>IF(Base_de_donnee_articles!B217="","",Base_de_donnee_articles!B217)</f>
        <v/>
      </c>
      <c r="C217" s="2">
        <f t="shared" si="6"/>
        <v>0</v>
      </c>
      <c r="D217" s="2">
        <f t="shared" si="7"/>
        <v>0</v>
      </c>
    </row>
    <row r="218" spans="1:4" x14ac:dyDescent="0.35">
      <c r="A218" s="2" t="str">
        <f>IF(Base_de_donnee_articles!A218="","",Base_de_donnee_articles!A218)</f>
        <v/>
      </c>
      <c r="B218" s="2" t="str">
        <f>IF(Base_de_donnee_articles!B218="","",Base_de_donnee_articles!B218)</f>
        <v/>
      </c>
      <c r="C218" s="2">
        <f t="shared" si="6"/>
        <v>0</v>
      </c>
      <c r="D218" s="2">
        <f t="shared" si="7"/>
        <v>0</v>
      </c>
    </row>
    <row r="219" spans="1:4" x14ac:dyDescent="0.35">
      <c r="A219" s="2" t="str">
        <f>IF(Base_de_donnee_articles!A219="","",Base_de_donnee_articles!A219)</f>
        <v/>
      </c>
      <c r="B219" s="2" t="str">
        <f>IF(Base_de_donnee_articles!B219="","",Base_de_donnee_articles!B219)</f>
        <v/>
      </c>
      <c r="C219" s="2">
        <f t="shared" si="6"/>
        <v>0</v>
      </c>
      <c r="D219" s="2">
        <f t="shared" si="7"/>
        <v>0</v>
      </c>
    </row>
    <row r="220" spans="1:4" x14ac:dyDescent="0.35">
      <c r="A220" s="2" t="str">
        <f>IF(Base_de_donnee_articles!A220="","",Base_de_donnee_articles!A220)</f>
        <v/>
      </c>
      <c r="B220" s="2" t="str">
        <f>IF(Base_de_donnee_articles!B220="","",Base_de_donnee_articles!B220)</f>
        <v/>
      </c>
      <c r="C220" s="2">
        <f t="shared" si="6"/>
        <v>0</v>
      </c>
      <c r="D220" s="2">
        <f t="shared" si="7"/>
        <v>0</v>
      </c>
    </row>
    <row r="221" spans="1:4" x14ac:dyDescent="0.35">
      <c r="A221" s="2" t="str">
        <f>IF(Base_de_donnee_articles!A221="","",Base_de_donnee_articles!A221)</f>
        <v/>
      </c>
      <c r="B221" s="2" t="str">
        <f>IF(Base_de_donnee_articles!B221="","",Base_de_donnee_articles!B221)</f>
        <v/>
      </c>
      <c r="C221" s="2">
        <f t="shared" si="6"/>
        <v>0</v>
      </c>
      <c r="D221" s="2">
        <f t="shared" si="7"/>
        <v>0</v>
      </c>
    </row>
    <row r="222" spans="1:4" x14ac:dyDescent="0.35">
      <c r="A222" s="2" t="str">
        <f>IF(Base_de_donnee_articles!A222="","",Base_de_donnee_articles!A222)</f>
        <v/>
      </c>
      <c r="B222" s="2" t="str">
        <f>IF(Base_de_donnee_articles!B222="","",Base_de_donnee_articles!B222)</f>
        <v/>
      </c>
      <c r="C222" s="2">
        <f t="shared" si="6"/>
        <v>0</v>
      </c>
      <c r="D222" s="2">
        <f t="shared" si="7"/>
        <v>0</v>
      </c>
    </row>
    <row r="223" spans="1:4" x14ac:dyDescent="0.35">
      <c r="A223" s="2" t="str">
        <f>IF(Base_de_donnee_articles!A223="","",Base_de_donnee_articles!A223)</f>
        <v/>
      </c>
      <c r="B223" s="2" t="str">
        <f>IF(Base_de_donnee_articles!B223="","",Base_de_donnee_articles!B223)</f>
        <v/>
      </c>
      <c r="C223" s="2">
        <f t="shared" si="6"/>
        <v>0</v>
      </c>
      <c r="D223" s="2">
        <f t="shared" si="7"/>
        <v>0</v>
      </c>
    </row>
    <row r="224" spans="1:4" x14ac:dyDescent="0.35">
      <c r="A224" s="2" t="str">
        <f>IF(Base_de_donnee_articles!A224="","",Base_de_donnee_articles!A224)</f>
        <v/>
      </c>
      <c r="B224" s="2" t="str">
        <f>IF(Base_de_donnee_articles!B224="","",Base_de_donnee_articles!B224)</f>
        <v/>
      </c>
      <c r="C224" s="2">
        <f t="shared" si="6"/>
        <v>0</v>
      </c>
      <c r="D224" s="2">
        <f t="shared" si="7"/>
        <v>0</v>
      </c>
    </row>
    <row r="225" spans="1:4" x14ac:dyDescent="0.35">
      <c r="A225" s="2" t="str">
        <f>IF(Base_de_donnee_articles!A225="","",Base_de_donnee_articles!A225)</f>
        <v/>
      </c>
      <c r="B225" s="2" t="str">
        <f>IF(Base_de_donnee_articles!B225="","",Base_de_donnee_articles!B225)</f>
        <v/>
      </c>
      <c r="C225" s="2">
        <f t="shared" si="6"/>
        <v>0</v>
      </c>
      <c r="D225" s="2">
        <f t="shared" si="7"/>
        <v>0</v>
      </c>
    </row>
    <row r="226" spans="1:4" x14ac:dyDescent="0.35">
      <c r="A226" s="2" t="str">
        <f>IF(Base_de_donnee_articles!A226="","",Base_de_donnee_articles!A226)</f>
        <v/>
      </c>
      <c r="B226" s="2" t="str">
        <f>IF(Base_de_donnee_articles!B226="","",Base_de_donnee_articles!B226)</f>
        <v/>
      </c>
      <c r="C226" s="2">
        <f t="shared" si="6"/>
        <v>0</v>
      </c>
      <c r="D226" s="2">
        <f t="shared" si="7"/>
        <v>0</v>
      </c>
    </row>
    <row r="227" spans="1:4" x14ac:dyDescent="0.35">
      <c r="A227" s="2" t="str">
        <f>IF(Base_de_donnee_articles!A227="","",Base_de_donnee_articles!A227)</f>
        <v/>
      </c>
      <c r="B227" s="2" t="str">
        <f>IF(Base_de_donnee_articles!B227="","",Base_de_donnee_articles!B227)</f>
        <v/>
      </c>
      <c r="C227" s="2">
        <f t="shared" si="6"/>
        <v>0</v>
      </c>
      <c r="D227" s="2">
        <f t="shared" si="7"/>
        <v>0</v>
      </c>
    </row>
    <row r="228" spans="1:4" x14ac:dyDescent="0.35">
      <c r="A228" s="2" t="str">
        <f>IF(Base_de_donnee_articles!A228="","",Base_de_donnee_articles!A228)</f>
        <v/>
      </c>
      <c r="B228" s="2" t="str">
        <f>IF(Base_de_donnee_articles!B228="","",Base_de_donnee_articles!B228)</f>
        <v/>
      </c>
      <c r="C228" s="2">
        <f t="shared" si="6"/>
        <v>0</v>
      </c>
      <c r="D228" s="2">
        <f t="shared" si="7"/>
        <v>0</v>
      </c>
    </row>
    <row r="229" spans="1:4" x14ac:dyDescent="0.35">
      <c r="A229" s="2" t="str">
        <f>IF(Base_de_donnee_articles!A229="","",Base_de_donnee_articles!A229)</f>
        <v/>
      </c>
      <c r="B229" s="2" t="str">
        <f>IF(Base_de_donnee_articles!B229="","",Base_de_donnee_articles!B229)</f>
        <v/>
      </c>
      <c r="C229" s="2">
        <f t="shared" si="6"/>
        <v>0</v>
      </c>
      <c r="D229" s="2">
        <f t="shared" si="7"/>
        <v>0</v>
      </c>
    </row>
    <row r="230" spans="1:4" x14ac:dyDescent="0.35">
      <c r="A230" s="2" t="str">
        <f>IF(Base_de_donnee_articles!A230="","",Base_de_donnee_articles!A230)</f>
        <v/>
      </c>
      <c r="B230" s="2" t="str">
        <f>IF(Base_de_donnee_articles!B230="","",Base_de_donnee_articles!B230)</f>
        <v/>
      </c>
      <c r="C230" s="2">
        <f t="shared" si="6"/>
        <v>0</v>
      </c>
      <c r="D230" s="2">
        <f t="shared" si="7"/>
        <v>0</v>
      </c>
    </row>
    <row r="231" spans="1:4" x14ac:dyDescent="0.35">
      <c r="A231" s="2" t="str">
        <f>IF(Base_de_donnee_articles!A231="","",Base_de_donnee_articles!A231)</f>
        <v/>
      </c>
      <c r="B231" s="2" t="str">
        <f>IF(Base_de_donnee_articles!B231="","",Base_de_donnee_articles!B231)</f>
        <v/>
      </c>
      <c r="C231" s="2">
        <f t="shared" si="6"/>
        <v>0</v>
      </c>
      <c r="D231" s="2">
        <f t="shared" si="7"/>
        <v>0</v>
      </c>
    </row>
    <row r="232" spans="1:4" x14ac:dyDescent="0.35">
      <c r="A232" s="2" t="str">
        <f>IF(Base_de_donnee_articles!A232="","",Base_de_donnee_articles!A232)</f>
        <v/>
      </c>
      <c r="B232" s="2" t="str">
        <f>IF(Base_de_donnee_articles!B232="","",Base_de_donnee_articles!B232)</f>
        <v/>
      </c>
      <c r="C232" s="2">
        <f t="shared" si="6"/>
        <v>0</v>
      </c>
      <c r="D232" s="2">
        <f t="shared" si="7"/>
        <v>0</v>
      </c>
    </row>
    <row r="233" spans="1:4" x14ac:dyDescent="0.35">
      <c r="A233" s="2" t="str">
        <f>IF(Base_de_donnee_articles!A233="","",Base_de_donnee_articles!A233)</f>
        <v/>
      </c>
      <c r="B233" s="2" t="str">
        <f>IF(Base_de_donnee_articles!B233="","",Base_de_donnee_articles!B233)</f>
        <v/>
      </c>
      <c r="C233" s="2">
        <f t="shared" si="6"/>
        <v>0</v>
      </c>
      <c r="D233" s="2">
        <f t="shared" si="7"/>
        <v>0</v>
      </c>
    </row>
    <row r="234" spans="1:4" x14ac:dyDescent="0.35">
      <c r="A234" s="2" t="str">
        <f>IF(Base_de_donnee_articles!A234="","",Base_de_donnee_articles!A234)</f>
        <v/>
      </c>
      <c r="B234" s="2" t="str">
        <f>IF(Base_de_donnee_articles!B234="","",Base_de_donnee_articles!B234)</f>
        <v/>
      </c>
      <c r="C234" s="2">
        <f t="shared" si="6"/>
        <v>0</v>
      </c>
      <c r="D234" s="2">
        <f t="shared" si="7"/>
        <v>0</v>
      </c>
    </row>
    <row r="235" spans="1:4" x14ac:dyDescent="0.35">
      <c r="A235" s="2" t="str">
        <f>IF(Base_de_donnee_articles!A235="","",Base_de_donnee_articles!A235)</f>
        <v/>
      </c>
      <c r="B235" s="2" t="str">
        <f>IF(Base_de_donnee_articles!B235="","",Base_de_donnee_articles!B235)</f>
        <v/>
      </c>
      <c r="C235" s="2">
        <f t="shared" si="6"/>
        <v>0</v>
      </c>
      <c r="D235" s="2">
        <f t="shared" si="7"/>
        <v>0</v>
      </c>
    </row>
    <row r="236" spans="1:4" x14ac:dyDescent="0.35">
      <c r="A236" s="2" t="str">
        <f>IF(Base_de_donnee_articles!A236="","",Base_de_donnee_articles!A236)</f>
        <v/>
      </c>
      <c r="B236" s="2" t="str">
        <f>IF(Base_de_donnee_articles!B236="","",Base_de_donnee_articles!B236)</f>
        <v/>
      </c>
      <c r="C236" s="2">
        <f t="shared" si="6"/>
        <v>0</v>
      </c>
      <c r="D236" s="2">
        <f t="shared" si="7"/>
        <v>0</v>
      </c>
    </row>
    <row r="237" spans="1:4" x14ac:dyDescent="0.35">
      <c r="A237" s="2" t="str">
        <f>IF(Base_de_donnee_articles!A237="","",Base_de_donnee_articles!A237)</f>
        <v/>
      </c>
      <c r="B237" s="2" t="str">
        <f>IF(Base_de_donnee_articles!B237="","",Base_de_donnee_articles!B237)</f>
        <v/>
      </c>
      <c r="C237" s="2">
        <f t="shared" si="6"/>
        <v>0</v>
      </c>
      <c r="D237" s="2">
        <f t="shared" si="7"/>
        <v>0</v>
      </c>
    </row>
    <row r="238" spans="1:4" x14ac:dyDescent="0.35">
      <c r="A238" s="2" t="str">
        <f>IF(Base_de_donnee_articles!A238="","",Base_de_donnee_articles!A238)</f>
        <v/>
      </c>
      <c r="B238" s="2" t="str">
        <f>IF(Base_de_donnee_articles!B238="","",Base_de_donnee_articles!B238)</f>
        <v/>
      </c>
      <c r="C238" s="2">
        <f t="shared" si="6"/>
        <v>0</v>
      </c>
      <c r="D238" s="2">
        <f t="shared" si="7"/>
        <v>0</v>
      </c>
    </row>
    <row r="239" spans="1:4" x14ac:dyDescent="0.35">
      <c r="A239" s="2" t="str">
        <f>IF(Base_de_donnee_articles!A239="","",Base_de_donnee_articles!A239)</f>
        <v/>
      </c>
      <c r="B239" s="2" t="str">
        <f>IF(Base_de_donnee_articles!B239="","",Base_de_donnee_articles!B239)</f>
        <v/>
      </c>
      <c r="C239" s="2">
        <f t="shared" si="6"/>
        <v>0</v>
      </c>
      <c r="D239" s="2">
        <f t="shared" si="7"/>
        <v>0</v>
      </c>
    </row>
    <row r="240" spans="1:4" x14ac:dyDescent="0.35">
      <c r="A240" s="2" t="str">
        <f>IF(Base_de_donnee_articles!A240="","",Base_de_donnee_articles!A240)</f>
        <v/>
      </c>
      <c r="B240" s="2" t="str">
        <f>IF(Base_de_donnee_articles!B240="","",Base_de_donnee_articles!B240)</f>
        <v/>
      </c>
      <c r="C240" s="2">
        <f t="shared" si="6"/>
        <v>0</v>
      </c>
      <c r="D240" s="2">
        <f t="shared" si="7"/>
        <v>0</v>
      </c>
    </row>
    <row r="241" spans="1:4" x14ac:dyDescent="0.35">
      <c r="A241" s="2" t="str">
        <f>IF(Base_de_donnee_articles!A241="","",Base_de_donnee_articles!A241)</f>
        <v/>
      </c>
      <c r="B241" s="2" t="str">
        <f>IF(Base_de_donnee_articles!B241="","",Base_de_donnee_articles!B241)</f>
        <v/>
      </c>
      <c r="C241" s="2">
        <f t="shared" si="6"/>
        <v>0</v>
      </c>
      <c r="D241" s="2">
        <f t="shared" si="7"/>
        <v>0</v>
      </c>
    </row>
    <row r="242" spans="1:4" x14ac:dyDescent="0.35">
      <c r="A242" s="2" t="str">
        <f>IF(Base_de_donnee_articles!A242="","",Base_de_donnee_articles!A242)</f>
        <v/>
      </c>
      <c r="B242" s="2" t="str">
        <f>IF(Base_de_donnee_articles!B242="","",Base_de_donnee_articles!B242)</f>
        <v/>
      </c>
      <c r="C242" s="2">
        <f t="shared" si="6"/>
        <v>0</v>
      </c>
      <c r="D242" s="2">
        <f t="shared" si="7"/>
        <v>0</v>
      </c>
    </row>
    <row r="243" spans="1:4" x14ac:dyDescent="0.35">
      <c r="A243" s="2" t="str">
        <f>IF(Base_de_donnee_articles!A243="","",Base_de_donnee_articles!A243)</f>
        <v/>
      </c>
      <c r="B243" s="2" t="str">
        <f>IF(Base_de_donnee_articles!B243="","",Base_de_donnee_articles!B243)</f>
        <v/>
      </c>
      <c r="C243" s="2">
        <f t="shared" si="6"/>
        <v>0</v>
      </c>
      <c r="D243" s="2">
        <f t="shared" si="7"/>
        <v>0</v>
      </c>
    </row>
    <row r="244" spans="1:4" x14ac:dyDescent="0.35">
      <c r="A244" s="2" t="str">
        <f>IF(Base_de_donnee_articles!A244="","",Base_de_donnee_articles!A244)</f>
        <v/>
      </c>
      <c r="B244" s="2" t="str">
        <f>IF(Base_de_donnee_articles!B244="","",Base_de_donnee_articles!B244)</f>
        <v/>
      </c>
      <c r="C244" s="2">
        <f t="shared" si="6"/>
        <v>0</v>
      </c>
      <c r="D244" s="2">
        <f t="shared" si="7"/>
        <v>0</v>
      </c>
    </row>
    <row r="245" spans="1:4" x14ac:dyDescent="0.35">
      <c r="A245" s="2" t="str">
        <f>IF(Base_de_donnee_articles!A245="","",Base_de_donnee_articles!A245)</f>
        <v/>
      </c>
      <c r="B245" s="2" t="str">
        <f>IF(Base_de_donnee_articles!B245="","",Base_de_donnee_articles!B245)</f>
        <v/>
      </c>
      <c r="C245" s="2">
        <f t="shared" si="6"/>
        <v>0</v>
      </c>
      <c r="D245" s="2">
        <f t="shared" si="7"/>
        <v>0</v>
      </c>
    </row>
    <row r="246" spans="1:4" x14ac:dyDescent="0.35">
      <c r="A246" s="2" t="str">
        <f>IF(Base_de_donnee_articles!A246="","",Base_de_donnee_articles!A246)</f>
        <v/>
      </c>
      <c r="B246" s="2" t="str">
        <f>IF(Base_de_donnee_articles!B246="","",Base_de_donnee_articles!B246)</f>
        <v/>
      </c>
      <c r="C246" s="2">
        <f t="shared" si="6"/>
        <v>0</v>
      </c>
      <c r="D246" s="2">
        <f t="shared" si="7"/>
        <v>0</v>
      </c>
    </row>
    <row r="247" spans="1:4" x14ac:dyDescent="0.35">
      <c r="A247" s="2" t="str">
        <f>IF(Base_de_donnee_articles!A247="","",Base_de_donnee_articles!A247)</f>
        <v/>
      </c>
      <c r="B247" s="2" t="str">
        <f>IF(Base_de_donnee_articles!B247="","",Base_de_donnee_articles!B247)</f>
        <v/>
      </c>
      <c r="C247" s="2">
        <f t="shared" si="6"/>
        <v>0</v>
      </c>
      <c r="D247" s="2">
        <f t="shared" si="7"/>
        <v>0</v>
      </c>
    </row>
    <row r="248" spans="1:4" x14ac:dyDescent="0.35">
      <c r="A248" s="2" t="str">
        <f>IF(Base_de_donnee_articles!A248="","",Base_de_donnee_articles!A248)</f>
        <v/>
      </c>
      <c r="B248" s="2" t="str">
        <f>IF(Base_de_donnee_articles!B248="","",Base_de_donnee_articles!B248)</f>
        <v/>
      </c>
      <c r="C248" s="2">
        <f t="shared" si="6"/>
        <v>0</v>
      </c>
      <c r="D248" s="2">
        <f t="shared" si="7"/>
        <v>0</v>
      </c>
    </row>
    <row r="249" spans="1:4" x14ac:dyDescent="0.35">
      <c r="A249" s="2" t="str">
        <f>IF(Base_de_donnee_articles!A249="","",Base_de_donnee_articles!A249)</f>
        <v/>
      </c>
      <c r="B249" s="2" t="str">
        <f>IF(Base_de_donnee_articles!B249="","",Base_de_donnee_articles!B249)</f>
        <v/>
      </c>
      <c r="C249" s="2">
        <f t="shared" si="6"/>
        <v>0</v>
      </c>
      <c r="D249" s="2">
        <f t="shared" si="7"/>
        <v>0</v>
      </c>
    </row>
    <row r="250" spans="1:4" x14ac:dyDescent="0.35">
      <c r="A250" s="2" t="str">
        <f>IF(Base_de_donnee_articles!A250="","",Base_de_donnee_articles!A250)</f>
        <v/>
      </c>
      <c r="B250" s="2" t="str">
        <f>IF(Base_de_donnee_articles!B250="","",Base_de_donnee_articles!B250)</f>
        <v/>
      </c>
      <c r="C250" s="2">
        <f t="shared" si="6"/>
        <v>0</v>
      </c>
      <c r="D250" s="2">
        <f t="shared" si="7"/>
        <v>0</v>
      </c>
    </row>
    <row r="251" spans="1:4" x14ac:dyDescent="0.35">
      <c r="A251" s="2" t="str">
        <f>IF(Base_de_donnee_articles!A251="","",Base_de_donnee_articles!A251)</f>
        <v/>
      </c>
      <c r="B251" s="2" t="str">
        <f>IF(Base_de_donnee_articles!B251="","",Base_de_donnee_articles!B251)</f>
        <v/>
      </c>
      <c r="C251" s="2">
        <f t="shared" si="6"/>
        <v>0</v>
      </c>
      <c r="D251" s="2">
        <f t="shared" si="7"/>
        <v>0</v>
      </c>
    </row>
    <row r="252" spans="1:4" x14ac:dyDescent="0.35">
      <c r="A252" s="2" t="str">
        <f>IF(Base_de_donnee_articles!A252="","",Base_de_donnee_articles!A252)</f>
        <v/>
      </c>
      <c r="B252" s="2" t="str">
        <f>IF(Base_de_donnee_articles!B252="","",Base_de_donnee_articles!B252)</f>
        <v/>
      </c>
      <c r="C252" s="2">
        <f t="shared" si="6"/>
        <v>0</v>
      </c>
      <c r="D252" s="2">
        <f t="shared" si="7"/>
        <v>0</v>
      </c>
    </row>
    <row r="253" spans="1:4" x14ac:dyDescent="0.35">
      <c r="A253" s="2" t="str">
        <f>IF(Base_de_donnee_articles!A253="","",Base_de_donnee_articles!A253)</f>
        <v/>
      </c>
      <c r="B253" s="2" t="str">
        <f>IF(Base_de_donnee_articles!B253="","",Base_de_donnee_articles!B253)</f>
        <v/>
      </c>
      <c r="C253" s="2">
        <f t="shared" si="6"/>
        <v>0</v>
      </c>
      <c r="D253" s="2">
        <f t="shared" si="7"/>
        <v>0</v>
      </c>
    </row>
    <row r="254" spans="1:4" x14ac:dyDescent="0.35">
      <c r="A254" s="2" t="str">
        <f>IF(Base_de_donnee_articles!A254="","",Base_de_donnee_articles!A254)</f>
        <v/>
      </c>
      <c r="B254" s="2" t="str">
        <f>IF(Base_de_donnee_articles!B254="","",Base_de_donnee_articles!B254)</f>
        <v/>
      </c>
      <c r="C254" s="2">
        <f t="shared" si="6"/>
        <v>0</v>
      </c>
      <c r="D254" s="2">
        <f t="shared" si="7"/>
        <v>0</v>
      </c>
    </row>
    <row r="255" spans="1:4" x14ac:dyDescent="0.35">
      <c r="A255" s="2" t="str">
        <f>IF(Base_de_donnee_articles!A255="","",Base_de_donnee_articles!A255)</f>
        <v/>
      </c>
      <c r="B255" s="2" t="str">
        <f>IF(Base_de_donnee_articles!B255="","",Base_de_donnee_articles!B255)</f>
        <v/>
      </c>
      <c r="C255" s="2">
        <f t="shared" si="6"/>
        <v>0</v>
      </c>
      <c r="D255" s="2">
        <f t="shared" si="7"/>
        <v>0</v>
      </c>
    </row>
    <row r="256" spans="1:4" x14ac:dyDescent="0.35">
      <c r="A256" s="2" t="str">
        <f>IF(Base_de_donnee_articles!A256="","",Base_de_donnee_articles!A256)</f>
        <v/>
      </c>
      <c r="B256" s="2" t="str">
        <f>IF(Base_de_donnee_articles!B256="","",Base_de_donnee_articles!B256)</f>
        <v/>
      </c>
      <c r="C256" s="2">
        <f t="shared" si="6"/>
        <v>0</v>
      </c>
      <c r="D256" s="2">
        <f t="shared" si="7"/>
        <v>0</v>
      </c>
    </row>
    <row r="257" spans="1:4" x14ac:dyDescent="0.35">
      <c r="A257" s="2" t="str">
        <f>IF(Base_de_donnee_articles!A257="","",Base_de_donnee_articles!A257)</f>
        <v/>
      </c>
      <c r="B257" s="2" t="str">
        <f>IF(Base_de_donnee_articles!B257="","",Base_de_donnee_articles!B257)</f>
        <v/>
      </c>
      <c r="C257" s="2">
        <f t="shared" si="6"/>
        <v>0</v>
      </c>
      <c r="D257" s="2">
        <f t="shared" si="7"/>
        <v>0</v>
      </c>
    </row>
    <row r="258" spans="1:4" x14ac:dyDescent="0.35">
      <c r="A258" s="2" t="str">
        <f>IF(Base_de_donnee_articles!A258="","",Base_de_donnee_articles!A258)</f>
        <v/>
      </c>
      <c r="B258" s="2" t="str">
        <f>IF(Base_de_donnee_articles!B258="","",Base_de_donnee_articles!B258)</f>
        <v/>
      </c>
      <c r="C258" s="2">
        <f t="shared" si="6"/>
        <v>0</v>
      </c>
      <c r="D258" s="2">
        <f t="shared" si="7"/>
        <v>0</v>
      </c>
    </row>
    <row r="259" spans="1:4" x14ac:dyDescent="0.35">
      <c r="A259" s="2" t="str">
        <f>IF(Base_de_donnee_articles!A259="","",Base_de_donnee_articles!A259)</f>
        <v/>
      </c>
      <c r="B259" s="2" t="str">
        <f>IF(Base_de_donnee_articles!B259="","",Base_de_donnee_articles!B259)</f>
        <v/>
      </c>
      <c r="C259" s="2">
        <f t="shared" si="6"/>
        <v>0</v>
      </c>
      <c r="D259" s="2">
        <f t="shared" si="7"/>
        <v>0</v>
      </c>
    </row>
    <row r="260" spans="1:4" x14ac:dyDescent="0.35">
      <c r="A260" s="2" t="str">
        <f>IF(Base_de_donnee_articles!A260="","",Base_de_donnee_articles!A260)</f>
        <v/>
      </c>
      <c r="B260" s="2" t="str">
        <f>IF(Base_de_donnee_articles!B260="","",Base_de_donnee_articles!B260)</f>
        <v/>
      </c>
      <c r="C260" s="2">
        <f t="shared" si="6"/>
        <v>0</v>
      </c>
      <c r="D260" s="2">
        <f t="shared" si="7"/>
        <v>0</v>
      </c>
    </row>
    <row r="261" spans="1:4" x14ac:dyDescent="0.35">
      <c r="A261" s="2" t="str">
        <f>IF(Base_de_donnee_articles!A261="","",Base_de_donnee_articles!A261)</f>
        <v/>
      </c>
      <c r="B261" s="2" t="str">
        <f>IF(Base_de_donnee_articles!B261="","",Base_de_donnee_articles!B261)</f>
        <v/>
      </c>
      <c r="C261" s="2">
        <f t="shared" si="6"/>
        <v>0</v>
      </c>
      <c r="D261" s="2">
        <f t="shared" si="7"/>
        <v>0</v>
      </c>
    </row>
    <row r="262" spans="1:4" x14ac:dyDescent="0.35">
      <c r="A262" s="2" t="str">
        <f>IF(Base_de_donnee_articles!A262="","",Base_de_donnee_articles!A262)</f>
        <v/>
      </c>
      <c r="B262" s="2" t="str">
        <f>IF(Base_de_donnee_articles!B262="","",Base_de_donnee_articles!B262)</f>
        <v/>
      </c>
      <c r="C262" s="2">
        <f t="shared" si="6"/>
        <v>0</v>
      </c>
      <c r="D262" s="2">
        <f t="shared" si="7"/>
        <v>0</v>
      </c>
    </row>
    <row r="263" spans="1:4" x14ac:dyDescent="0.35">
      <c r="A263" s="2" t="str">
        <f>IF(Base_de_donnee_articles!A263="","",Base_de_donnee_articles!A263)</f>
        <v/>
      </c>
      <c r="B263" s="2" t="str">
        <f>IF(Base_de_donnee_articles!B263="","",Base_de_donnee_articles!B263)</f>
        <v/>
      </c>
      <c r="C263" s="2">
        <f t="shared" si="6"/>
        <v>0</v>
      </c>
      <c r="D263" s="2">
        <f t="shared" si="7"/>
        <v>0</v>
      </c>
    </row>
    <row r="264" spans="1:4" x14ac:dyDescent="0.35">
      <c r="A264" s="2" t="str">
        <f>IF(Base_de_donnee_articles!A264="","",Base_de_donnee_articles!A264)</f>
        <v/>
      </c>
      <c r="B264" s="2" t="str">
        <f>IF(Base_de_donnee_articles!B264="","",Base_de_donnee_articles!B264)</f>
        <v/>
      </c>
      <c r="C264" s="2">
        <f t="shared" si="6"/>
        <v>0</v>
      </c>
      <c r="D264" s="2">
        <f t="shared" si="7"/>
        <v>0</v>
      </c>
    </row>
    <row r="265" spans="1:4" x14ac:dyDescent="0.35">
      <c r="A265" s="2" t="str">
        <f>IF(Base_de_donnee_articles!A265="","",Base_de_donnee_articles!A265)</f>
        <v/>
      </c>
      <c r="B265" s="2" t="str">
        <f>IF(Base_de_donnee_articles!B265="","",Base_de_donnee_articles!B265)</f>
        <v/>
      </c>
      <c r="C265" s="2">
        <f t="shared" ref="C265:C297" si="8">IF(E265="",0,E265)</f>
        <v>0</v>
      </c>
      <c r="D265" s="2">
        <f t="shared" ref="D265:D297" si="9">IF(F265="",0,F265)</f>
        <v>0</v>
      </c>
    </row>
    <row r="266" spans="1:4" x14ac:dyDescent="0.35">
      <c r="A266" s="2" t="str">
        <f>IF(Base_de_donnee_articles!A266="","",Base_de_donnee_articles!A266)</f>
        <v/>
      </c>
      <c r="B266" s="2" t="str">
        <f>IF(Base_de_donnee_articles!B266="","",Base_de_donnee_articles!B266)</f>
        <v/>
      </c>
      <c r="C266" s="2">
        <f t="shared" si="8"/>
        <v>0</v>
      </c>
      <c r="D266" s="2">
        <f t="shared" si="9"/>
        <v>0</v>
      </c>
    </row>
    <row r="267" spans="1:4" x14ac:dyDescent="0.35">
      <c r="A267" s="2" t="str">
        <f>IF(Base_de_donnee_articles!A267="","",Base_de_donnee_articles!A267)</f>
        <v/>
      </c>
      <c r="B267" s="2" t="str">
        <f>IF(Base_de_donnee_articles!B267="","",Base_de_donnee_articles!B267)</f>
        <v/>
      </c>
      <c r="C267" s="2">
        <f t="shared" si="8"/>
        <v>0</v>
      </c>
      <c r="D267" s="2">
        <f t="shared" si="9"/>
        <v>0</v>
      </c>
    </row>
    <row r="268" spans="1:4" x14ac:dyDescent="0.35">
      <c r="A268" s="2" t="str">
        <f>IF(Base_de_donnee_articles!A268="","",Base_de_donnee_articles!A268)</f>
        <v/>
      </c>
      <c r="B268" s="2" t="str">
        <f>IF(Base_de_donnee_articles!B268="","",Base_de_donnee_articles!B268)</f>
        <v/>
      </c>
      <c r="C268" s="2">
        <f t="shared" si="8"/>
        <v>0</v>
      </c>
      <c r="D268" s="2">
        <f t="shared" si="9"/>
        <v>0</v>
      </c>
    </row>
    <row r="269" spans="1:4" x14ac:dyDescent="0.35">
      <c r="A269" s="2" t="str">
        <f>IF(Base_de_donnee_articles!A269="","",Base_de_donnee_articles!A269)</f>
        <v/>
      </c>
      <c r="B269" s="2" t="str">
        <f>IF(Base_de_donnee_articles!B269="","",Base_de_donnee_articles!B269)</f>
        <v/>
      </c>
      <c r="C269" s="2">
        <f t="shared" si="8"/>
        <v>0</v>
      </c>
      <c r="D269" s="2">
        <f t="shared" si="9"/>
        <v>0</v>
      </c>
    </row>
    <row r="270" spans="1:4" x14ac:dyDescent="0.35">
      <c r="A270" s="2" t="str">
        <f>IF(Base_de_donnee_articles!A270="","",Base_de_donnee_articles!A270)</f>
        <v/>
      </c>
      <c r="B270" s="2" t="str">
        <f>IF(Base_de_donnee_articles!B270="","",Base_de_donnee_articles!B270)</f>
        <v/>
      </c>
      <c r="C270" s="2">
        <f t="shared" si="8"/>
        <v>0</v>
      </c>
      <c r="D270" s="2">
        <f t="shared" si="9"/>
        <v>0</v>
      </c>
    </row>
    <row r="271" spans="1:4" x14ac:dyDescent="0.35">
      <c r="A271" s="2" t="str">
        <f>IF(Base_de_donnee_articles!A271="","",Base_de_donnee_articles!A271)</f>
        <v/>
      </c>
      <c r="B271" s="2" t="str">
        <f>IF(Base_de_donnee_articles!B271="","",Base_de_donnee_articles!B271)</f>
        <v/>
      </c>
      <c r="C271" s="2">
        <f t="shared" si="8"/>
        <v>0</v>
      </c>
      <c r="D271" s="2">
        <f t="shared" si="9"/>
        <v>0</v>
      </c>
    </row>
    <row r="272" spans="1:4" x14ac:dyDescent="0.35">
      <c r="A272" s="2" t="str">
        <f>IF(Base_de_donnee_articles!A272="","",Base_de_donnee_articles!A272)</f>
        <v/>
      </c>
      <c r="B272" s="2" t="str">
        <f>IF(Base_de_donnee_articles!B272="","",Base_de_donnee_articles!B272)</f>
        <v/>
      </c>
      <c r="C272" s="2">
        <f t="shared" si="8"/>
        <v>0</v>
      </c>
      <c r="D272" s="2">
        <f t="shared" si="9"/>
        <v>0</v>
      </c>
    </row>
    <row r="273" spans="1:4" x14ac:dyDescent="0.35">
      <c r="A273" s="2" t="str">
        <f>IF(Base_de_donnee_articles!A273="","",Base_de_donnee_articles!A273)</f>
        <v/>
      </c>
      <c r="B273" s="2" t="str">
        <f>IF(Base_de_donnee_articles!B273="","",Base_de_donnee_articles!B273)</f>
        <v/>
      </c>
      <c r="C273" s="2">
        <f t="shared" si="8"/>
        <v>0</v>
      </c>
      <c r="D273" s="2">
        <f t="shared" si="9"/>
        <v>0</v>
      </c>
    </row>
    <row r="274" spans="1:4" x14ac:dyDescent="0.35">
      <c r="A274" s="2" t="str">
        <f>IF(Base_de_donnee_articles!A274="","",Base_de_donnee_articles!A274)</f>
        <v/>
      </c>
      <c r="B274" s="2" t="str">
        <f>IF(Base_de_donnee_articles!B274="","",Base_de_donnee_articles!B274)</f>
        <v/>
      </c>
      <c r="C274" s="2">
        <f t="shared" si="8"/>
        <v>0</v>
      </c>
      <c r="D274" s="2">
        <f t="shared" si="9"/>
        <v>0</v>
      </c>
    </row>
    <row r="275" spans="1:4" x14ac:dyDescent="0.35">
      <c r="A275" s="2" t="str">
        <f>IF(Base_de_donnee_articles!A275="","",Base_de_donnee_articles!A275)</f>
        <v/>
      </c>
      <c r="B275" s="2" t="str">
        <f>IF(Base_de_donnee_articles!B275="","",Base_de_donnee_articles!B275)</f>
        <v/>
      </c>
      <c r="C275" s="2">
        <f t="shared" si="8"/>
        <v>0</v>
      </c>
      <c r="D275" s="2">
        <f t="shared" si="9"/>
        <v>0</v>
      </c>
    </row>
    <row r="276" spans="1:4" x14ac:dyDescent="0.35">
      <c r="A276" s="2" t="str">
        <f>IF(Base_de_donnee_articles!A276="","",Base_de_donnee_articles!A276)</f>
        <v/>
      </c>
      <c r="B276" s="2" t="str">
        <f>IF(Base_de_donnee_articles!B276="","",Base_de_donnee_articles!B276)</f>
        <v/>
      </c>
      <c r="C276" s="2">
        <f t="shared" si="8"/>
        <v>0</v>
      </c>
      <c r="D276" s="2">
        <f t="shared" si="9"/>
        <v>0</v>
      </c>
    </row>
    <row r="277" spans="1:4" x14ac:dyDescent="0.35">
      <c r="A277" s="2" t="str">
        <f>IF(Base_de_donnee_articles!A277="","",Base_de_donnee_articles!A277)</f>
        <v/>
      </c>
      <c r="B277" s="2" t="str">
        <f>IF(Base_de_donnee_articles!B277="","",Base_de_donnee_articles!B277)</f>
        <v/>
      </c>
      <c r="C277" s="2">
        <f t="shared" si="8"/>
        <v>0</v>
      </c>
      <c r="D277" s="2">
        <f t="shared" si="9"/>
        <v>0</v>
      </c>
    </row>
    <row r="278" spans="1:4" x14ac:dyDescent="0.35">
      <c r="A278" s="2" t="str">
        <f>IF(Base_de_donnee_articles!A278="","",Base_de_donnee_articles!A278)</f>
        <v/>
      </c>
      <c r="B278" s="2" t="str">
        <f>IF(Base_de_donnee_articles!B278="","",Base_de_donnee_articles!B278)</f>
        <v/>
      </c>
      <c r="C278" s="2">
        <f t="shared" si="8"/>
        <v>0</v>
      </c>
      <c r="D278" s="2">
        <f t="shared" si="9"/>
        <v>0</v>
      </c>
    </row>
    <row r="279" spans="1:4" x14ac:dyDescent="0.35">
      <c r="A279" s="2" t="str">
        <f>IF(Base_de_donnee_articles!A279="","",Base_de_donnee_articles!A279)</f>
        <v/>
      </c>
      <c r="B279" s="2" t="str">
        <f>IF(Base_de_donnee_articles!B279="","",Base_de_donnee_articles!B279)</f>
        <v/>
      </c>
      <c r="C279" s="2">
        <f t="shared" si="8"/>
        <v>0</v>
      </c>
      <c r="D279" s="2">
        <f t="shared" si="9"/>
        <v>0</v>
      </c>
    </row>
    <row r="280" spans="1:4" x14ac:dyDescent="0.35">
      <c r="A280" s="2" t="str">
        <f>IF(Base_de_donnee_articles!A280="","",Base_de_donnee_articles!A280)</f>
        <v/>
      </c>
      <c r="B280" s="2" t="str">
        <f>IF(Base_de_donnee_articles!B280="","",Base_de_donnee_articles!B280)</f>
        <v/>
      </c>
      <c r="C280" s="2">
        <f t="shared" si="8"/>
        <v>0</v>
      </c>
      <c r="D280" s="2">
        <f t="shared" si="9"/>
        <v>0</v>
      </c>
    </row>
    <row r="281" spans="1:4" x14ac:dyDescent="0.35">
      <c r="A281" s="2" t="str">
        <f>IF(Base_de_donnee_articles!A281="","",Base_de_donnee_articles!A281)</f>
        <v/>
      </c>
      <c r="B281" s="2" t="str">
        <f>IF(Base_de_donnee_articles!B281="","",Base_de_donnee_articles!B281)</f>
        <v/>
      </c>
      <c r="C281" s="2">
        <f t="shared" si="8"/>
        <v>0</v>
      </c>
      <c r="D281" s="2">
        <f t="shared" si="9"/>
        <v>0</v>
      </c>
    </row>
    <row r="282" spans="1:4" x14ac:dyDescent="0.35">
      <c r="A282" s="2" t="str">
        <f>IF(Base_de_donnee_articles!A282="","",Base_de_donnee_articles!A282)</f>
        <v/>
      </c>
      <c r="B282" s="2" t="str">
        <f>IF(Base_de_donnee_articles!B282="","",Base_de_donnee_articles!B282)</f>
        <v/>
      </c>
      <c r="C282" s="2">
        <f t="shared" si="8"/>
        <v>0</v>
      </c>
      <c r="D282" s="2">
        <f t="shared" si="9"/>
        <v>0</v>
      </c>
    </row>
    <row r="283" spans="1:4" x14ac:dyDescent="0.35">
      <c r="A283" s="2" t="str">
        <f>IF(Base_de_donnee_articles!A283="","",Base_de_donnee_articles!A283)</f>
        <v/>
      </c>
      <c r="B283" s="2" t="str">
        <f>IF(Base_de_donnee_articles!B283="","",Base_de_donnee_articles!B283)</f>
        <v/>
      </c>
      <c r="C283" s="2">
        <f t="shared" si="8"/>
        <v>0</v>
      </c>
      <c r="D283" s="2">
        <f t="shared" si="9"/>
        <v>0</v>
      </c>
    </row>
    <row r="284" spans="1:4" x14ac:dyDescent="0.35">
      <c r="A284" s="2" t="str">
        <f>IF(Base_de_donnee_articles!A284="","",Base_de_donnee_articles!A284)</f>
        <v/>
      </c>
      <c r="B284" s="2" t="str">
        <f>IF(Base_de_donnee_articles!B284="","",Base_de_donnee_articles!B284)</f>
        <v/>
      </c>
      <c r="C284" s="2">
        <f t="shared" si="8"/>
        <v>0</v>
      </c>
      <c r="D284" s="2">
        <f t="shared" si="9"/>
        <v>0</v>
      </c>
    </row>
    <row r="285" spans="1:4" x14ac:dyDescent="0.35">
      <c r="A285" s="2" t="str">
        <f>IF(Base_de_donnee_articles!A285="","",Base_de_donnee_articles!A285)</f>
        <v/>
      </c>
      <c r="B285" s="2" t="str">
        <f>IF(Base_de_donnee_articles!B285="","",Base_de_donnee_articles!B285)</f>
        <v/>
      </c>
      <c r="C285" s="2">
        <f t="shared" si="8"/>
        <v>0</v>
      </c>
      <c r="D285" s="2">
        <f t="shared" si="9"/>
        <v>0</v>
      </c>
    </row>
    <row r="286" spans="1:4" x14ac:dyDescent="0.35">
      <c r="A286" s="2" t="str">
        <f>IF(Base_de_donnee_articles!A286="","",Base_de_donnee_articles!A286)</f>
        <v/>
      </c>
      <c r="B286" s="2" t="str">
        <f>IF(Base_de_donnee_articles!B286="","",Base_de_donnee_articles!B286)</f>
        <v/>
      </c>
      <c r="C286" s="2">
        <f t="shared" si="8"/>
        <v>0</v>
      </c>
      <c r="D286" s="2">
        <f t="shared" si="9"/>
        <v>0</v>
      </c>
    </row>
    <row r="287" spans="1:4" x14ac:dyDescent="0.35">
      <c r="A287" s="2" t="str">
        <f>IF(Base_de_donnee_articles!A287="","",Base_de_donnee_articles!A287)</f>
        <v/>
      </c>
      <c r="B287" s="2" t="str">
        <f>IF(Base_de_donnee_articles!B287="","",Base_de_donnee_articles!B287)</f>
        <v/>
      </c>
      <c r="C287" s="2">
        <f t="shared" si="8"/>
        <v>0</v>
      </c>
      <c r="D287" s="2">
        <f t="shared" si="9"/>
        <v>0</v>
      </c>
    </row>
    <row r="288" spans="1:4" x14ac:dyDescent="0.35">
      <c r="A288" s="2" t="str">
        <f>IF(Base_de_donnee_articles!A288="","",Base_de_donnee_articles!A288)</f>
        <v/>
      </c>
      <c r="B288" s="2" t="str">
        <f>IF(Base_de_donnee_articles!B288="","",Base_de_donnee_articles!B288)</f>
        <v/>
      </c>
      <c r="C288" s="2">
        <f t="shared" si="8"/>
        <v>0</v>
      </c>
      <c r="D288" s="2">
        <f t="shared" si="9"/>
        <v>0</v>
      </c>
    </row>
    <row r="289" spans="1:4" x14ac:dyDescent="0.35">
      <c r="A289" s="2" t="str">
        <f>IF(Base_de_donnee_articles!A289="","",Base_de_donnee_articles!A289)</f>
        <v/>
      </c>
      <c r="B289" s="2" t="str">
        <f>IF(Base_de_donnee_articles!B289="","",Base_de_donnee_articles!B289)</f>
        <v/>
      </c>
      <c r="C289" s="2">
        <f t="shared" si="8"/>
        <v>0</v>
      </c>
      <c r="D289" s="2">
        <f t="shared" si="9"/>
        <v>0</v>
      </c>
    </row>
    <row r="290" spans="1:4" x14ac:dyDescent="0.35">
      <c r="A290" s="2" t="str">
        <f>IF(Base_de_donnee_articles!A290="","",Base_de_donnee_articles!A290)</f>
        <v/>
      </c>
      <c r="B290" s="2" t="str">
        <f>IF(Base_de_donnee_articles!B290="","",Base_de_donnee_articles!B290)</f>
        <v/>
      </c>
      <c r="C290" s="2">
        <f t="shared" si="8"/>
        <v>0</v>
      </c>
      <c r="D290" s="2">
        <f t="shared" si="9"/>
        <v>0</v>
      </c>
    </row>
    <row r="291" spans="1:4" x14ac:dyDescent="0.35">
      <c r="A291" s="2" t="str">
        <f>IF(Base_de_donnee_articles!A291="","",Base_de_donnee_articles!A291)</f>
        <v/>
      </c>
      <c r="B291" s="2" t="str">
        <f>IF(Base_de_donnee_articles!B291="","",Base_de_donnee_articles!B291)</f>
        <v/>
      </c>
      <c r="C291" s="2">
        <f t="shared" si="8"/>
        <v>0</v>
      </c>
      <c r="D291" s="2">
        <f t="shared" si="9"/>
        <v>0</v>
      </c>
    </row>
    <row r="292" spans="1:4" x14ac:dyDescent="0.35">
      <c r="A292" s="2" t="str">
        <f>IF(Base_de_donnee_articles!A292="","",Base_de_donnee_articles!A292)</f>
        <v/>
      </c>
      <c r="B292" s="2" t="str">
        <f>IF(Base_de_donnee_articles!B292="","",Base_de_donnee_articles!B292)</f>
        <v/>
      </c>
      <c r="C292" s="2">
        <f t="shared" si="8"/>
        <v>0</v>
      </c>
      <c r="D292" s="2">
        <f t="shared" si="9"/>
        <v>0</v>
      </c>
    </row>
    <row r="293" spans="1:4" x14ac:dyDescent="0.35">
      <c r="A293" s="2" t="str">
        <f>IF(Base_de_donnee_articles!A293="","",Base_de_donnee_articles!A293)</f>
        <v/>
      </c>
      <c r="B293" s="2" t="str">
        <f>IF(Base_de_donnee_articles!B293="","",Base_de_donnee_articles!B293)</f>
        <v/>
      </c>
      <c r="C293" s="2">
        <f t="shared" si="8"/>
        <v>0</v>
      </c>
      <c r="D293" s="2">
        <f t="shared" si="9"/>
        <v>0</v>
      </c>
    </row>
    <row r="294" spans="1:4" x14ac:dyDescent="0.35">
      <c r="A294" s="2" t="str">
        <f>IF(Base_de_donnee_articles!A294="","",Base_de_donnee_articles!A294)</f>
        <v/>
      </c>
      <c r="B294" s="2" t="str">
        <f>IF(Base_de_donnee_articles!B294="","",Base_de_donnee_articles!B294)</f>
        <v/>
      </c>
      <c r="C294" s="2">
        <f t="shared" si="8"/>
        <v>0</v>
      </c>
      <c r="D294" s="2">
        <f t="shared" si="9"/>
        <v>0</v>
      </c>
    </row>
    <row r="295" spans="1:4" x14ac:dyDescent="0.35">
      <c r="A295" s="2" t="str">
        <f>IF(Base_de_donnee_articles!A295="","",Base_de_donnee_articles!A295)</f>
        <v/>
      </c>
      <c r="B295" s="2" t="str">
        <f>IF(Base_de_donnee_articles!B295="","",Base_de_donnee_articles!B295)</f>
        <v/>
      </c>
      <c r="C295" s="2">
        <f t="shared" si="8"/>
        <v>0</v>
      </c>
      <c r="D295" s="2">
        <f t="shared" si="9"/>
        <v>0</v>
      </c>
    </row>
    <row r="296" spans="1:4" x14ac:dyDescent="0.35">
      <c r="A296" s="2" t="str">
        <f>IF(Base_de_donnee_articles!A296="","",Base_de_donnee_articles!A296)</f>
        <v/>
      </c>
      <c r="B296" s="2" t="str">
        <f>IF(Base_de_donnee_articles!B296="","",Base_de_donnee_articles!B296)</f>
        <v/>
      </c>
      <c r="C296" s="2">
        <f t="shared" si="8"/>
        <v>0</v>
      </c>
      <c r="D296" s="2">
        <f t="shared" si="9"/>
        <v>0</v>
      </c>
    </row>
    <row r="297" spans="1:4" x14ac:dyDescent="0.35">
      <c r="A297" s="2" t="str">
        <f>IF(Base_de_donnee_articles!A297="","",Base_de_donnee_articles!A297)</f>
        <v/>
      </c>
      <c r="B297" s="2" t="str">
        <f>IF(Base_de_donnee_articles!B297="","",Base_de_donnee_articles!B297)</f>
        <v/>
      </c>
      <c r="C297" s="2">
        <f t="shared" si="8"/>
        <v>0</v>
      </c>
      <c r="D297" s="2">
        <f t="shared" si="9"/>
        <v>0</v>
      </c>
    </row>
    <row r="298" spans="1:4" x14ac:dyDescent="0.35">
      <c r="A298" s="2" t="str">
        <f>IF(Base_de_donnee_articles!A298="","",Base_de_donnee_articles!A298)</f>
        <v/>
      </c>
      <c r="B298" s="2" t="str">
        <f>IF(Base_de_donnee_articles!B298="","",Base_de_donnee_articles!B298)</f>
        <v/>
      </c>
      <c r="C298" s="4"/>
      <c r="D298" s="2"/>
    </row>
    <row r="299" spans="1:4" x14ac:dyDescent="0.35">
      <c r="A299" s="2" t="str">
        <f>IF(Base_de_donnee_articles!A299="","",Base_de_donnee_articles!A299)</f>
        <v/>
      </c>
      <c r="B299" s="2" t="str">
        <f>IF(Base_de_donnee_articles!B299="","",Base_de_donnee_articles!B299)</f>
        <v/>
      </c>
      <c r="C299" s="4"/>
      <c r="D299" s="2"/>
    </row>
    <row r="300" spans="1:4" x14ac:dyDescent="0.35">
      <c r="A300" s="2" t="str">
        <f>IF(Base_de_donnee_articles!A300="","",Base_de_donnee_articles!A300)</f>
        <v/>
      </c>
      <c r="B300" s="2" t="str">
        <f>IF(Base_de_donnee_articles!B300="","",Base_de_donnee_articles!B300)</f>
        <v/>
      </c>
      <c r="C300" s="4"/>
      <c r="D300" s="2"/>
    </row>
    <row r="301" spans="1:4" x14ac:dyDescent="0.35">
      <c r="A301" s="2" t="str">
        <f>IF(Base_de_donnee_articles!A301="","",Base_de_donnee_articles!A301)</f>
        <v/>
      </c>
      <c r="B301" s="2" t="str">
        <f>IF(Base_de_donnee_articles!B301="","",Base_de_donnee_articles!B301)</f>
        <v/>
      </c>
      <c r="C301" s="4"/>
      <c r="D301" s="2"/>
    </row>
    <row r="302" spans="1:4" x14ac:dyDescent="0.35">
      <c r="A302" s="2" t="str">
        <f>IF(Base_de_donnee_articles!A302="","",Base_de_donnee_articles!A302)</f>
        <v/>
      </c>
      <c r="B302" s="2" t="str">
        <f>IF(Base_de_donnee_articles!B302="","",Base_de_donnee_articles!B302)</f>
        <v/>
      </c>
      <c r="C302" s="4"/>
      <c r="D302" s="2"/>
    </row>
    <row r="303" spans="1:4" x14ac:dyDescent="0.35">
      <c r="A303" s="2" t="str">
        <f>IF(Base_de_donnee_articles!A303="","",Base_de_donnee_articles!A303)</f>
        <v/>
      </c>
      <c r="B303" s="2" t="str">
        <f>IF(Base_de_donnee_articles!B303="","",Base_de_donnee_articles!B303)</f>
        <v/>
      </c>
      <c r="C303" s="4"/>
      <c r="D303" s="2"/>
    </row>
    <row r="304" spans="1:4" x14ac:dyDescent="0.35">
      <c r="A304" s="2" t="str">
        <f>IF(Base_de_donnee_articles!A304="","",Base_de_donnee_articles!A304)</f>
        <v/>
      </c>
      <c r="B304" s="2" t="str">
        <f>IF(Base_de_donnee_articles!B304="","",Base_de_donnee_articles!B304)</f>
        <v/>
      </c>
      <c r="C304" s="4"/>
      <c r="D304" s="2"/>
    </row>
    <row r="305" spans="1:4" x14ac:dyDescent="0.35">
      <c r="A305" s="2" t="str">
        <f>IF(Base_de_donnee_articles!A305="","",Base_de_donnee_articles!A305)</f>
        <v/>
      </c>
      <c r="B305" s="2" t="str">
        <f>IF(Base_de_donnee_articles!B305="","",Base_de_donnee_articles!B305)</f>
        <v/>
      </c>
      <c r="C305" s="4"/>
      <c r="D305" s="2"/>
    </row>
    <row r="306" spans="1:4" x14ac:dyDescent="0.35">
      <c r="A306" s="2" t="str">
        <f>IF(Base_de_donnee_articles!A306="","",Base_de_donnee_articles!A306)</f>
        <v/>
      </c>
      <c r="B306" s="2" t="str">
        <f>IF(Base_de_donnee_articles!B306="","",Base_de_donnee_articles!B306)</f>
        <v/>
      </c>
      <c r="C306" s="4"/>
      <c r="D306" s="2"/>
    </row>
    <row r="307" spans="1:4" x14ac:dyDescent="0.35">
      <c r="A307" s="2" t="str">
        <f>IF(Base_de_donnee_articles!A307="","",Base_de_donnee_articles!A307)</f>
        <v/>
      </c>
      <c r="B307" s="2" t="str">
        <f>IF(Base_de_donnee_articles!B307="","",Base_de_donnee_articles!B307)</f>
        <v/>
      </c>
      <c r="C307" s="4"/>
      <c r="D307" s="2"/>
    </row>
    <row r="308" spans="1:4" x14ac:dyDescent="0.35">
      <c r="A308" s="2" t="str">
        <f>IF(Base_de_donnee_articles!A308="","",Base_de_donnee_articles!A308)</f>
        <v/>
      </c>
      <c r="B308" s="2" t="str">
        <f>IF(Base_de_donnee_articles!B308="","",Base_de_donnee_articles!B308)</f>
        <v/>
      </c>
      <c r="C308" s="4"/>
      <c r="D308" s="2"/>
    </row>
    <row r="309" spans="1:4" x14ac:dyDescent="0.35">
      <c r="A309" s="2" t="str">
        <f>IF(Base_de_donnee_articles!A309="","",Base_de_donnee_articles!A309)</f>
        <v/>
      </c>
      <c r="B309" s="2" t="str">
        <f>IF(Base_de_donnee_articles!B309="","",Base_de_donnee_articles!B309)</f>
        <v/>
      </c>
      <c r="C309" s="4"/>
      <c r="D309" s="2"/>
    </row>
    <row r="310" spans="1:4" x14ac:dyDescent="0.35">
      <c r="A310" s="2" t="str">
        <f>IF(Base_de_donnee_articles!A310="","",Base_de_donnee_articles!A310)</f>
        <v/>
      </c>
      <c r="B310" s="2" t="str">
        <f>IF(Base_de_donnee_articles!B310="","",Base_de_donnee_articles!B310)</f>
        <v/>
      </c>
      <c r="C310" s="4"/>
      <c r="D310" s="2"/>
    </row>
    <row r="311" spans="1:4" x14ac:dyDescent="0.35">
      <c r="A311" s="2" t="str">
        <f>IF(Base_de_donnee_articles!A311="","",Base_de_donnee_articles!A311)</f>
        <v/>
      </c>
      <c r="B311" s="2" t="str">
        <f>IF(Base_de_donnee_articles!B311="","",Base_de_donnee_articles!B311)</f>
        <v/>
      </c>
      <c r="C311" s="4"/>
      <c r="D311" s="2"/>
    </row>
    <row r="312" spans="1:4" x14ac:dyDescent="0.35">
      <c r="A312" s="2" t="str">
        <f>IF(Base_de_donnee_articles!A312="","",Base_de_donnee_articles!A312)</f>
        <v/>
      </c>
      <c r="B312" s="2" t="str">
        <f>IF(Base_de_donnee_articles!B312="","",Base_de_donnee_articles!B312)</f>
        <v/>
      </c>
      <c r="C312" s="4"/>
      <c r="D312" s="2"/>
    </row>
    <row r="313" spans="1:4" x14ac:dyDescent="0.35">
      <c r="A313" s="2" t="str">
        <f>IF(Base_de_donnee_articles!A313="","",Base_de_donnee_articles!A313)</f>
        <v/>
      </c>
      <c r="B313" s="2" t="str">
        <f>IF(Base_de_donnee_articles!B313="","",Base_de_donnee_articles!B313)</f>
        <v/>
      </c>
      <c r="C313" s="4"/>
      <c r="D313" s="2"/>
    </row>
    <row r="314" spans="1:4" x14ac:dyDescent="0.35">
      <c r="A314" s="2" t="str">
        <f>IF(Base_de_donnee_articles!A314="","",Base_de_donnee_articles!A314)</f>
        <v/>
      </c>
      <c r="B314" s="2" t="str">
        <f>IF(Base_de_donnee_articles!B314="","",Base_de_donnee_articles!B314)</f>
        <v/>
      </c>
      <c r="C314" s="4"/>
      <c r="D314" s="2"/>
    </row>
    <row r="315" spans="1:4" x14ac:dyDescent="0.35">
      <c r="A315" s="2" t="str">
        <f>IF(Base_de_donnee_articles!A315="","",Base_de_donnee_articles!A315)</f>
        <v/>
      </c>
      <c r="B315" s="2" t="str">
        <f>IF(Base_de_donnee_articles!B315="","",Base_de_donnee_articles!B315)</f>
        <v/>
      </c>
      <c r="C315" s="4"/>
      <c r="D315" s="2"/>
    </row>
    <row r="316" spans="1:4" x14ac:dyDescent="0.35">
      <c r="A316" s="2" t="str">
        <f>IF(Base_de_donnee_articles!A316="","",Base_de_donnee_articles!A316)</f>
        <v/>
      </c>
      <c r="B316" s="2" t="str">
        <f>IF(Base_de_donnee_articles!B316="","",Base_de_donnee_articles!B316)</f>
        <v/>
      </c>
      <c r="C316" s="4"/>
      <c r="D316" s="2"/>
    </row>
    <row r="317" spans="1:4" x14ac:dyDescent="0.35">
      <c r="A317" s="2" t="str">
        <f>IF(Base_de_donnee_articles!A317="","",Base_de_donnee_articles!A317)</f>
        <v/>
      </c>
      <c r="B317" s="2" t="str">
        <f>IF(Base_de_donnee_articles!B317="","",Base_de_donnee_articles!B317)</f>
        <v/>
      </c>
      <c r="C317" s="4"/>
      <c r="D317" s="2"/>
    </row>
    <row r="318" spans="1:4" x14ac:dyDescent="0.35">
      <c r="A318" s="2" t="str">
        <f>IF(Base_de_donnee_articles!A318="","",Base_de_donnee_articles!A318)</f>
        <v/>
      </c>
      <c r="B318" s="2" t="str">
        <f>IF(Base_de_donnee_articles!B318="","",Base_de_donnee_articles!B318)</f>
        <v/>
      </c>
      <c r="C318" s="4"/>
      <c r="D318" s="2"/>
    </row>
    <row r="319" spans="1:4" x14ac:dyDescent="0.35">
      <c r="A319" s="2" t="str">
        <f>IF(Base_de_donnee_articles!A319="","",Base_de_donnee_articles!A319)</f>
        <v/>
      </c>
      <c r="B319" s="2" t="str">
        <f>IF(Base_de_donnee_articles!B319="","",Base_de_donnee_articles!B319)</f>
        <v/>
      </c>
      <c r="C319" s="4"/>
      <c r="D319" s="2"/>
    </row>
    <row r="320" spans="1:4" x14ac:dyDescent="0.35">
      <c r="A320" s="2" t="str">
        <f>IF(Base_de_donnee_articles!A320="","",Base_de_donnee_articles!A320)</f>
        <v/>
      </c>
      <c r="B320" s="2" t="str">
        <f>IF(Base_de_donnee_articles!B320="","",Base_de_donnee_articles!B320)</f>
        <v/>
      </c>
      <c r="C320" s="4"/>
      <c r="D320" s="2"/>
    </row>
    <row r="321" spans="1:4" x14ac:dyDescent="0.35">
      <c r="A321" s="2" t="str">
        <f>IF(Base_de_donnee_articles!A321="","",Base_de_donnee_articles!A321)</f>
        <v/>
      </c>
      <c r="B321" s="2" t="str">
        <f>IF(Base_de_donnee_articles!B321="","",Base_de_donnee_articles!B321)</f>
        <v/>
      </c>
      <c r="C321" s="4"/>
      <c r="D321" s="2"/>
    </row>
    <row r="322" spans="1:4" x14ac:dyDescent="0.35">
      <c r="A322" s="2" t="str">
        <f>IF(Base_de_donnee_articles!A322="","",Base_de_donnee_articles!A322)</f>
        <v/>
      </c>
      <c r="B322" s="2" t="str">
        <f>IF(Base_de_donnee_articles!B322="","",Base_de_donnee_articles!B322)</f>
        <v/>
      </c>
      <c r="C322" s="4"/>
      <c r="D322" s="2"/>
    </row>
    <row r="323" spans="1:4" x14ac:dyDescent="0.35">
      <c r="A323" s="2" t="str">
        <f>IF(Base_de_donnee_articles!A323="","",Base_de_donnee_articles!A323)</f>
        <v/>
      </c>
      <c r="B323" s="2" t="str">
        <f>IF(Base_de_donnee_articles!B323="","",Base_de_donnee_articles!B323)</f>
        <v/>
      </c>
      <c r="C323" s="4"/>
      <c r="D323" s="2"/>
    </row>
    <row r="324" spans="1:4" x14ac:dyDescent="0.35">
      <c r="A324" s="2" t="str">
        <f>IF(Base_de_donnee_articles!A324="","",Base_de_donnee_articles!A324)</f>
        <v/>
      </c>
      <c r="B324" s="2" t="str">
        <f>IF(Base_de_donnee_articles!B324="","",Base_de_donnee_articles!B324)</f>
        <v/>
      </c>
      <c r="C324" s="4"/>
      <c r="D324" s="2"/>
    </row>
    <row r="325" spans="1:4" x14ac:dyDescent="0.35">
      <c r="A325" s="2" t="str">
        <f>IF(Base_de_donnee_articles!A325="","",Base_de_donnee_articles!A325)</f>
        <v/>
      </c>
      <c r="B325" s="2" t="str">
        <f>IF(Base_de_donnee_articles!B325="","",Base_de_donnee_articles!B325)</f>
        <v/>
      </c>
      <c r="C325" s="4"/>
      <c r="D325" s="2"/>
    </row>
    <row r="326" spans="1:4" x14ac:dyDescent="0.35">
      <c r="A326" s="2" t="str">
        <f>IF(Base_de_donnee_articles!A326="","",Base_de_donnee_articles!A326)</f>
        <v/>
      </c>
      <c r="B326" s="2" t="str">
        <f>IF(Base_de_donnee_articles!B326="","",Base_de_donnee_articles!B326)</f>
        <v/>
      </c>
      <c r="C326" s="4"/>
      <c r="D326" s="2"/>
    </row>
    <row r="327" spans="1:4" x14ac:dyDescent="0.35">
      <c r="A327" s="2" t="str">
        <f>IF(Base_de_donnee_articles!A327="","",Base_de_donnee_articles!A327)</f>
        <v/>
      </c>
      <c r="B327" s="2" t="str">
        <f>IF(Base_de_donnee_articles!B327="","",Base_de_donnee_articles!B327)</f>
        <v/>
      </c>
      <c r="C327" s="4"/>
      <c r="D327" s="2"/>
    </row>
    <row r="328" spans="1:4" x14ac:dyDescent="0.35">
      <c r="A328" s="2" t="str">
        <f>IF(Base_de_donnee_articles!A328="","",Base_de_donnee_articles!A328)</f>
        <v/>
      </c>
      <c r="B328" s="2" t="str">
        <f>IF(Base_de_donnee_articles!B328="","",Base_de_donnee_articles!B328)</f>
        <v/>
      </c>
      <c r="C328" s="4"/>
      <c r="D328" s="2"/>
    </row>
    <row r="329" spans="1:4" x14ac:dyDescent="0.35">
      <c r="A329" s="2" t="str">
        <f>IF(Base_de_donnee_articles!A329="","",Base_de_donnee_articles!A329)</f>
        <v/>
      </c>
      <c r="B329" s="2" t="str">
        <f>IF(Base_de_donnee_articles!B329="","",Base_de_donnee_articles!B329)</f>
        <v/>
      </c>
      <c r="C329" s="4"/>
      <c r="D329" s="2"/>
    </row>
    <row r="330" spans="1:4" x14ac:dyDescent="0.35">
      <c r="A330" s="2" t="str">
        <f>IF(Base_de_donnee_articles!A330="","",Base_de_donnee_articles!A330)</f>
        <v/>
      </c>
      <c r="B330" s="2" t="str">
        <f>IF(Base_de_donnee_articles!B330="","",Base_de_donnee_articles!B330)</f>
        <v/>
      </c>
      <c r="C330" s="4"/>
      <c r="D330" s="2"/>
    </row>
    <row r="331" spans="1:4" x14ac:dyDescent="0.35">
      <c r="A331" s="2" t="str">
        <f>IF(Base_de_donnee_articles!A331="","",Base_de_donnee_articles!A331)</f>
        <v/>
      </c>
      <c r="B331" s="2" t="str">
        <f>IF(Base_de_donnee_articles!B331="","",Base_de_donnee_articles!B331)</f>
        <v/>
      </c>
      <c r="C331" s="4"/>
      <c r="D331" s="2"/>
    </row>
    <row r="332" spans="1:4" x14ac:dyDescent="0.35">
      <c r="A332" s="2" t="str">
        <f>IF(Base_de_donnee_articles!A332="","",Base_de_donnee_articles!A332)</f>
        <v/>
      </c>
      <c r="B332" s="2" t="str">
        <f>IF(Base_de_donnee_articles!B332="","",Base_de_donnee_articles!B332)</f>
        <v/>
      </c>
      <c r="C332" s="4"/>
      <c r="D332" s="2"/>
    </row>
    <row r="333" spans="1:4" x14ac:dyDescent="0.35">
      <c r="A333" s="2" t="str">
        <f>IF(Base_de_donnee_articles!A333="","",Base_de_donnee_articles!A333)</f>
        <v/>
      </c>
      <c r="B333" s="2" t="str">
        <f>IF(Base_de_donnee_articles!B333="","",Base_de_donnee_articles!B333)</f>
        <v/>
      </c>
      <c r="C333" s="4"/>
      <c r="D333" s="2"/>
    </row>
    <row r="334" spans="1:4" x14ac:dyDescent="0.35">
      <c r="A334" s="2" t="str">
        <f>IF(Base_de_donnee_articles!A334="","",Base_de_donnee_articles!A334)</f>
        <v/>
      </c>
      <c r="B334" s="2" t="str">
        <f>IF(Base_de_donnee_articles!B334="","",Base_de_donnee_articles!B334)</f>
        <v/>
      </c>
      <c r="C334" s="4"/>
      <c r="D334" s="2"/>
    </row>
    <row r="335" spans="1:4" x14ac:dyDescent="0.35">
      <c r="A335" s="2" t="str">
        <f>IF(Base_de_donnee_articles!A335="","",Base_de_donnee_articles!A335)</f>
        <v/>
      </c>
      <c r="B335" s="2" t="str">
        <f>IF(Base_de_donnee_articles!B335="","",Base_de_donnee_articles!B335)</f>
        <v/>
      </c>
      <c r="C335" s="4"/>
      <c r="D335" s="2"/>
    </row>
    <row r="336" spans="1:4" x14ac:dyDescent="0.35">
      <c r="A336" s="2" t="str">
        <f>IF(Base_de_donnee_articles!A336="","",Base_de_donnee_articles!A336)</f>
        <v/>
      </c>
      <c r="B336" s="2" t="str">
        <f>IF(Base_de_donnee_articles!B336="","",Base_de_donnee_articles!B336)</f>
        <v/>
      </c>
      <c r="C336" s="4"/>
      <c r="D336" s="2"/>
    </row>
    <row r="337" spans="1:4" x14ac:dyDescent="0.35">
      <c r="A337" s="2" t="str">
        <f>IF(Base_de_donnee_articles!A337="","",Base_de_donnee_articles!A337)</f>
        <v/>
      </c>
      <c r="B337" s="2" t="str">
        <f>IF(Base_de_donnee_articles!B337="","",Base_de_donnee_articles!B337)</f>
        <v/>
      </c>
      <c r="C337" s="4"/>
      <c r="D337" s="2"/>
    </row>
    <row r="338" spans="1:4" x14ac:dyDescent="0.35">
      <c r="A338" s="2" t="str">
        <f>IF(Base_de_donnee_articles!A338="","",Base_de_donnee_articles!A338)</f>
        <v/>
      </c>
      <c r="B338" s="2" t="str">
        <f>IF(Base_de_donnee_articles!B338="","",Base_de_donnee_articles!B338)</f>
        <v/>
      </c>
      <c r="C338" s="4"/>
      <c r="D338" s="2"/>
    </row>
    <row r="339" spans="1:4" x14ac:dyDescent="0.35">
      <c r="A339" s="2" t="str">
        <f>IF(Base_de_donnee_articles!A339="","",Base_de_donnee_articles!A339)</f>
        <v/>
      </c>
      <c r="B339" s="2" t="str">
        <f>IF(Base_de_donnee_articles!B339="","",Base_de_donnee_articles!B339)</f>
        <v/>
      </c>
      <c r="C339" s="4"/>
      <c r="D339" s="2"/>
    </row>
    <row r="340" spans="1:4" x14ac:dyDescent="0.35">
      <c r="A340" s="2" t="str">
        <f>IF(Base_de_donnee_articles!A340="","",Base_de_donnee_articles!A340)</f>
        <v/>
      </c>
      <c r="B340" s="2" t="str">
        <f>IF(Base_de_donnee_articles!B340="","",Base_de_donnee_articles!B340)</f>
        <v/>
      </c>
      <c r="C340" s="4"/>
      <c r="D340" s="2"/>
    </row>
    <row r="341" spans="1:4" x14ac:dyDescent="0.35">
      <c r="A341" s="2" t="str">
        <f>IF(Base_de_donnee_articles!A341="","",Base_de_donnee_articles!A341)</f>
        <v/>
      </c>
      <c r="B341" s="2" t="str">
        <f>IF(Base_de_donnee_articles!B341="","",Base_de_donnee_articles!B341)</f>
        <v/>
      </c>
      <c r="C341" s="4"/>
      <c r="D341" s="2"/>
    </row>
    <row r="342" spans="1:4" x14ac:dyDescent="0.35">
      <c r="A342" s="2" t="str">
        <f>IF(Base_de_donnee_articles!A342="","",Base_de_donnee_articles!A342)</f>
        <v/>
      </c>
      <c r="B342" s="2" t="str">
        <f>IF(Base_de_donnee_articles!B342="","",Base_de_donnee_articles!B342)</f>
        <v/>
      </c>
      <c r="C342" s="4"/>
      <c r="D342" s="2"/>
    </row>
    <row r="343" spans="1:4" x14ac:dyDescent="0.35">
      <c r="A343" s="2" t="str">
        <f>IF(Base_de_donnee_articles!A343="","",Base_de_donnee_articles!A343)</f>
        <v/>
      </c>
      <c r="B343" s="2" t="str">
        <f>IF(Base_de_donnee_articles!B343="","",Base_de_donnee_articles!B343)</f>
        <v/>
      </c>
      <c r="C343" s="4"/>
      <c r="D343" s="2"/>
    </row>
    <row r="344" spans="1:4" x14ac:dyDescent="0.35">
      <c r="A344" s="2" t="str">
        <f>IF(Base_de_donnee_articles!A344="","",Base_de_donnee_articles!A344)</f>
        <v/>
      </c>
      <c r="B344" s="2" t="str">
        <f>IF(Base_de_donnee_articles!B344="","",Base_de_donnee_articles!B344)</f>
        <v/>
      </c>
      <c r="C344" s="4"/>
      <c r="D344" s="2"/>
    </row>
    <row r="345" spans="1:4" x14ac:dyDescent="0.35">
      <c r="A345" s="2" t="str">
        <f>IF(Base_de_donnee_articles!A345="","",Base_de_donnee_articles!A345)</f>
        <v/>
      </c>
      <c r="B345" s="2" t="str">
        <f>IF(Base_de_donnee_articles!B345="","",Base_de_donnee_articles!B345)</f>
        <v/>
      </c>
      <c r="C345" s="4"/>
      <c r="D345" s="2"/>
    </row>
    <row r="346" spans="1:4" x14ac:dyDescent="0.35">
      <c r="A346" s="2" t="str">
        <f>IF(Base_de_donnee_articles!A346="","",Base_de_donnee_articles!A346)</f>
        <v/>
      </c>
      <c r="B346" s="2" t="str">
        <f>IF(Base_de_donnee_articles!B346="","",Base_de_donnee_articles!B346)</f>
        <v/>
      </c>
      <c r="C346" s="4"/>
      <c r="D346" s="2"/>
    </row>
    <row r="347" spans="1:4" x14ac:dyDescent="0.35">
      <c r="A347" s="2" t="str">
        <f>IF(Base_de_donnee_articles!A347="","",Base_de_donnee_articles!A347)</f>
        <v/>
      </c>
      <c r="B347" s="2" t="str">
        <f>IF(Base_de_donnee_articles!B347="","",Base_de_donnee_articles!B347)</f>
        <v/>
      </c>
      <c r="C347" s="4"/>
      <c r="D347" s="2"/>
    </row>
    <row r="348" spans="1:4" x14ac:dyDescent="0.35">
      <c r="A348" s="2" t="str">
        <f>IF(Base_de_donnee_articles!A348="","",Base_de_donnee_articles!A348)</f>
        <v/>
      </c>
      <c r="B348" s="2" t="str">
        <f>IF(Base_de_donnee_articles!B348="","",Base_de_donnee_articles!B348)</f>
        <v/>
      </c>
      <c r="C348" s="4"/>
      <c r="D348" s="2"/>
    </row>
    <row r="349" spans="1:4" x14ac:dyDescent="0.35">
      <c r="A349" s="2" t="str">
        <f>IF(Base_de_donnee_articles!A349="","",Base_de_donnee_articles!A349)</f>
        <v/>
      </c>
      <c r="B349" s="2" t="str">
        <f>IF(Base_de_donnee_articles!B349="","",Base_de_donnee_articles!B349)</f>
        <v/>
      </c>
      <c r="C349" s="4"/>
      <c r="D349" s="2"/>
    </row>
    <row r="350" spans="1:4" x14ac:dyDescent="0.35">
      <c r="A350" s="2" t="str">
        <f>IF(Base_de_donnee_articles!A350="","",Base_de_donnee_articles!A350)</f>
        <v/>
      </c>
      <c r="B350" s="2" t="str">
        <f>IF(Base_de_donnee_articles!B350="","",Base_de_donnee_articles!B350)</f>
        <v/>
      </c>
      <c r="C350" s="4"/>
      <c r="D350" s="2"/>
    </row>
    <row r="351" spans="1:4" x14ac:dyDescent="0.35">
      <c r="A351" s="2" t="str">
        <f>IF(Base_de_donnee_articles!A351="","",Base_de_donnee_articles!A351)</f>
        <v/>
      </c>
      <c r="B351" s="2" t="str">
        <f>IF(Base_de_donnee_articles!B351="","",Base_de_donnee_articles!B351)</f>
        <v/>
      </c>
      <c r="C351" s="4"/>
      <c r="D351" s="2"/>
    </row>
    <row r="352" spans="1:4" x14ac:dyDescent="0.35">
      <c r="A352" s="2" t="str">
        <f>IF(Base_de_donnee_articles!A352="","",Base_de_donnee_articles!A352)</f>
        <v/>
      </c>
      <c r="B352" s="2" t="str">
        <f>IF(Base_de_donnee_articles!B352="","",Base_de_donnee_articles!B352)</f>
        <v/>
      </c>
      <c r="C352" s="4"/>
      <c r="D352" s="2"/>
    </row>
    <row r="353" spans="1:4" x14ac:dyDescent="0.35">
      <c r="A353" s="2" t="str">
        <f>IF(Base_de_donnee_articles!A353="","",Base_de_donnee_articles!A353)</f>
        <v/>
      </c>
      <c r="B353" s="2" t="str">
        <f>IF(Base_de_donnee_articles!B353="","",Base_de_donnee_articles!B353)</f>
        <v/>
      </c>
      <c r="C353" s="4"/>
      <c r="D353" s="2"/>
    </row>
    <row r="354" spans="1:4" x14ac:dyDescent="0.35">
      <c r="A354" s="2" t="str">
        <f>IF(Base_de_donnee_articles!A354="","",Base_de_donnee_articles!A354)</f>
        <v/>
      </c>
      <c r="B354" s="2" t="str">
        <f>IF(Base_de_donnee_articles!B354="","",Base_de_donnee_articles!B354)</f>
        <v/>
      </c>
      <c r="C354" s="4"/>
      <c r="D354" s="2"/>
    </row>
    <row r="355" spans="1:4" x14ac:dyDescent="0.35">
      <c r="A355" s="2" t="str">
        <f>IF(Base_de_donnee_articles!A355="","",Base_de_donnee_articles!A355)</f>
        <v/>
      </c>
      <c r="B355" s="2" t="str">
        <f>IF(Base_de_donnee_articles!B355="","",Base_de_donnee_articles!B355)</f>
        <v/>
      </c>
      <c r="C355" s="4"/>
      <c r="D355" s="2"/>
    </row>
    <row r="356" spans="1:4" x14ac:dyDescent="0.35">
      <c r="A356" s="2" t="str">
        <f>IF(Base_de_donnee_articles!A356="","",Base_de_donnee_articles!A356)</f>
        <v/>
      </c>
      <c r="B356" s="2" t="str">
        <f>IF(Base_de_donnee_articles!B356="","",Base_de_donnee_articles!B356)</f>
        <v/>
      </c>
      <c r="C356" s="4"/>
      <c r="D356" s="2"/>
    </row>
    <row r="357" spans="1:4" x14ac:dyDescent="0.35">
      <c r="A357" s="2" t="str">
        <f>IF(Base_de_donnee_articles!A357="","",Base_de_donnee_articles!A357)</f>
        <v/>
      </c>
      <c r="B357" s="2" t="str">
        <f>IF(Base_de_donnee_articles!B357="","",Base_de_donnee_articles!B357)</f>
        <v/>
      </c>
      <c r="C357" s="4"/>
      <c r="D357" s="2"/>
    </row>
    <row r="358" spans="1:4" x14ac:dyDescent="0.35">
      <c r="A358" s="2" t="str">
        <f>IF(Base_de_donnee_articles!A358="","",Base_de_donnee_articles!A358)</f>
        <v/>
      </c>
      <c r="B358" s="2" t="str">
        <f>IF(Base_de_donnee_articles!B358="","",Base_de_donnee_articles!B358)</f>
        <v/>
      </c>
      <c r="C358" s="4"/>
      <c r="D358" s="2"/>
    </row>
    <row r="359" spans="1:4" x14ac:dyDescent="0.35">
      <c r="A359" s="2" t="str">
        <f>IF(Base_de_donnee_articles!A359="","",Base_de_donnee_articles!A359)</f>
        <v/>
      </c>
      <c r="D359" s="1" t="str">
        <f>IF(A359="","",SUMIFS(Journal_entrees_et_sorties!C$8:C$500,Journal_entrees_et_sorties!A$8:A$500,A359))</f>
        <v/>
      </c>
    </row>
    <row r="360" spans="1:4" x14ac:dyDescent="0.35">
      <c r="A360" s="2" t="str">
        <f>IF(Base_de_donnee_articles!A360="","",Base_de_donnee_articles!A360)</f>
        <v/>
      </c>
      <c r="D360" s="1" t="str">
        <f>IF(A360="","",SUMIFS(Journal_entrees_et_sorties!C$8:C$500,Journal_entrees_et_sorties!A$8:A$500,A360))</f>
        <v/>
      </c>
    </row>
    <row r="361" spans="1:4" x14ac:dyDescent="0.35">
      <c r="A361" s="2" t="str">
        <f>IF(Base_de_donnee_articles!A361="","",Base_de_donnee_articles!A361)</f>
        <v/>
      </c>
      <c r="D361" s="1" t="str">
        <f>IF(A361="","",SUMIFS(Journal_entrees_et_sorties!C$8:C$500,Journal_entrees_et_sorties!A$8:A$500,A361))</f>
        <v/>
      </c>
    </row>
    <row r="362" spans="1:4" x14ac:dyDescent="0.35">
      <c r="A362" s="2" t="str">
        <f>IF(Base_de_donnee_articles!A362="","",Base_de_donnee_articles!A362)</f>
        <v/>
      </c>
      <c r="D362" s="1" t="str">
        <f>IF(A362="","",SUMIFS(Journal_entrees_et_sorties!C$8:C$500,Journal_entrees_et_sorties!A$8:A$500,A362))</f>
        <v/>
      </c>
    </row>
    <row r="363" spans="1:4" x14ac:dyDescent="0.35">
      <c r="A363" s="2" t="str">
        <f>IF(Base_de_donnee_articles!A363="","",Base_de_donnee_articles!A363)</f>
        <v/>
      </c>
      <c r="D363" s="1" t="str">
        <f>IF(A363="","",SUMIFS(Journal_entrees_et_sorties!C$8:C$500,Journal_entrees_et_sorties!A$8:A$500,A363))</f>
        <v/>
      </c>
    </row>
    <row r="364" spans="1:4" x14ac:dyDescent="0.35">
      <c r="A364" s="2" t="str">
        <f>IF(Base_de_donnee_articles!A364="","",Base_de_donnee_articles!A364)</f>
        <v/>
      </c>
      <c r="D364" s="1" t="str">
        <f>IF(A364="","",SUMIFS(Journal_entrees_et_sorties!C$8:C$500,Journal_entrees_et_sorties!A$8:A$500,A364))</f>
        <v/>
      </c>
    </row>
    <row r="365" spans="1:4" x14ac:dyDescent="0.35">
      <c r="A365" s="2" t="str">
        <f>IF(Base_de_donnee_articles!A365="","",Base_de_donnee_articles!A365)</f>
        <v/>
      </c>
      <c r="D365" s="1" t="str">
        <f>IF(A365="","",SUMIFS(Journal_entrees_et_sorties!C$8:C$500,Journal_entrees_et_sorties!A$8:A$500,A365))</f>
        <v/>
      </c>
    </row>
    <row r="366" spans="1:4" x14ac:dyDescent="0.35">
      <c r="A366" s="2" t="str">
        <f>IF(Base_de_donnee_articles!A366="","",Base_de_donnee_articles!A366)</f>
        <v/>
      </c>
      <c r="D366" s="1" t="str">
        <f>IF(A366="","",SUMIFS(Journal_entrees_et_sorties!C$8:C$500,Journal_entrees_et_sorties!A$8:A$500,A366))</f>
        <v/>
      </c>
    </row>
    <row r="367" spans="1:4" x14ac:dyDescent="0.35">
      <c r="A367" s="2" t="str">
        <f>IF(Base_de_donnee_articles!A367="","",Base_de_donnee_articles!A367)</f>
        <v/>
      </c>
      <c r="D367" s="1" t="str">
        <f>IF(A367="","",SUMIFS(Journal_entrees_et_sorties!C$8:C$500,Journal_entrees_et_sorties!A$8:A$500,A367))</f>
        <v/>
      </c>
    </row>
    <row r="368" spans="1:4" x14ac:dyDescent="0.35">
      <c r="A368" s="2" t="str">
        <f>IF(Base_de_donnee_articles!A368="","",Base_de_donnee_articles!A368)</f>
        <v/>
      </c>
      <c r="D368" s="1" t="str">
        <f>IF(A368="","",SUMIFS(Journal_entrees_et_sorties!C$8:C$500,Journal_entrees_et_sorties!A$8:A$500,A368))</f>
        <v/>
      </c>
    </row>
    <row r="369" spans="1:4" x14ac:dyDescent="0.35">
      <c r="A369" s="2" t="str">
        <f>IF(Base_de_donnee_articles!A369="","",Base_de_donnee_articles!A369)</f>
        <v/>
      </c>
      <c r="D369" s="1" t="str">
        <f>IF(A369="","",SUMIFS(Journal_entrees_et_sorties!C$8:C$500,Journal_entrees_et_sorties!A$8:A$500,A369))</f>
        <v/>
      </c>
    </row>
    <row r="370" spans="1:4" x14ac:dyDescent="0.35">
      <c r="A370" s="2" t="str">
        <f>IF(Base_de_donnee_articles!A370="","",Base_de_donnee_articles!A370)</f>
        <v/>
      </c>
      <c r="D370" s="1" t="str">
        <f>IF(A370="","",SUMIFS(Journal_entrees_et_sorties!C$8:C$500,Journal_entrees_et_sorties!A$8:A$500,A370))</f>
        <v/>
      </c>
    </row>
    <row r="371" spans="1:4" x14ac:dyDescent="0.35">
      <c r="A371" s="2" t="str">
        <f>IF(Base_de_donnee_articles!A371="","",Base_de_donnee_articles!A371)</f>
        <v/>
      </c>
      <c r="D371" s="1" t="str">
        <f>IF(A371="","",SUMIFS(Journal_entrees_et_sorties!C$8:C$500,Journal_entrees_et_sorties!A$8:A$500,A371))</f>
        <v/>
      </c>
    </row>
    <row r="372" spans="1:4" x14ac:dyDescent="0.35">
      <c r="A372" s="2" t="str">
        <f>IF(Base_de_donnee_articles!A372="","",Base_de_donnee_articles!A372)</f>
        <v/>
      </c>
      <c r="D372" s="1" t="str">
        <f>IF(A372="","",SUMIFS(Journal_entrees_et_sorties!C$8:C$500,Journal_entrees_et_sorties!A$8:A$500,A372))</f>
        <v/>
      </c>
    </row>
    <row r="373" spans="1:4" x14ac:dyDescent="0.35">
      <c r="A373" s="2" t="str">
        <f>IF(Base_de_donnee_articles!A373="","",Base_de_donnee_articles!A373)</f>
        <v/>
      </c>
      <c r="D373" s="1" t="str">
        <f>IF(A373="","",SUMIFS(Journal_entrees_et_sorties!C$8:C$500,Journal_entrees_et_sorties!A$8:A$500,A373))</f>
        <v/>
      </c>
    </row>
    <row r="374" spans="1:4" x14ac:dyDescent="0.35">
      <c r="A374" s="2" t="str">
        <f>IF(Base_de_donnee_articles!A374="","",Base_de_donnee_articles!A374)</f>
        <v/>
      </c>
      <c r="D374" s="1" t="str">
        <f>IF(A374="","",SUMIFS(Journal_entrees_et_sorties!C$8:C$500,Journal_entrees_et_sorties!A$8:A$500,A374))</f>
        <v/>
      </c>
    </row>
    <row r="375" spans="1:4" x14ac:dyDescent="0.35">
      <c r="A375" s="2" t="str">
        <f>IF(Base_de_donnee_articles!A375="","",Base_de_donnee_articles!A375)</f>
        <v/>
      </c>
      <c r="D375" s="1" t="str">
        <f>IF(A375="","",SUMIFS(Journal_entrees_et_sorties!C$8:C$500,Journal_entrees_et_sorties!A$8:A$500,A375))</f>
        <v/>
      </c>
    </row>
    <row r="376" spans="1:4" x14ac:dyDescent="0.35">
      <c r="A376" s="2" t="str">
        <f>IF(Base_de_donnee_articles!A376="","",Base_de_donnee_articles!A376)</f>
        <v/>
      </c>
      <c r="D376" s="1" t="str">
        <f>IF(A376="","",SUMIFS(Journal_entrees_et_sorties!C$8:C$500,Journal_entrees_et_sorties!A$8:A$500,A376))</f>
        <v/>
      </c>
    </row>
    <row r="377" spans="1:4" x14ac:dyDescent="0.35">
      <c r="A377" s="2" t="str">
        <f>IF(Base_de_donnee_articles!A377="","",Base_de_donnee_articles!A377)</f>
        <v/>
      </c>
      <c r="D377" s="1" t="str">
        <f>IF(A377="","",SUMIFS(Journal_entrees_et_sorties!C$8:C$500,Journal_entrees_et_sorties!A$8:A$500,A377))</f>
        <v/>
      </c>
    </row>
    <row r="378" spans="1:4" x14ac:dyDescent="0.35">
      <c r="A378" s="2" t="str">
        <f>IF(Base_de_donnee_articles!A378="","",Base_de_donnee_articles!A378)</f>
        <v/>
      </c>
      <c r="D378" s="1" t="str">
        <f>IF(A378="","",SUMIFS(Journal_entrees_et_sorties!C$8:C$500,Journal_entrees_et_sorties!A$8:A$500,A378))</f>
        <v/>
      </c>
    </row>
    <row r="379" spans="1:4" x14ac:dyDescent="0.35">
      <c r="A379" s="2" t="str">
        <f>IF(Base_de_donnee_articles!A379="","",Base_de_donnee_articles!A379)</f>
        <v/>
      </c>
      <c r="D379" s="1" t="str">
        <f>IF(A379="","",SUMIFS(Journal_entrees_et_sorties!C$8:C$500,Journal_entrees_et_sorties!A$8:A$500,A379))</f>
        <v/>
      </c>
    </row>
    <row r="380" spans="1:4" x14ac:dyDescent="0.35">
      <c r="A380" s="2" t="str">
        <f>IF(Base_de_donnee_articles!A380="","",Base_de_donnee_articles!A380)</f>
        <v/>
      </c>
      <c r="D380" s="1" t="str">
        <f>IF(A380="","",SUMIFS(Journal_entrees_et_sorties!C$8:C$500,Journal_entrees_et_sorties!A$8:A$500,A380))</f>
        <v/>
      </c>
    </row>
    <row r="381" spans="1:4" x14ac:dyDescent="0.35">
      <c r="A381" s="2" t="str">
        <f>IF(Base_de_donnee_articles!A381="","",Base_de_donnee_articles!A381)</f>
        <v/>
      </c>
      <c r="D381" s="1" t="str">
        <f>IF(A381="","",SUMIFS(Journal_entrees_et_sorties!C$8:C$500,Journal_entrees_et_sorties!A$8:A$500,A381))</f>
        <v/>
      </c>
    </row>
    <row r="382" spans="1:4" x14ac:dyDescent="0.35">
      <c r="A382" s="2" t="str">
        <f>IF(Base_de_donnee_articles!A382="","",Base_de_donnee_articles!A382)</f>
        <v/>
      </c>
      <c r="D382" s="1" t="str">
        <f>IF(A382="","",SUMIFS(Journal_entrees_et_sorties!C$8:C$500,Journal_entrees_et_sorties!A$8:A$500,A382))</f>
        <v/>
      </c>
    </row>
    <row r="383" spans="1:4" x14ac:dyDescent="0.35">
      <c r="A383" s="2" t="str">
        <f>IF(Base_de_donnee_articles!A383="","",Base_de_donnee_articles!A383)</f>
        <v/>
      </c>
      <c r="D383" s="1" t="str">
        <f>IF(A383="","",SUMIFS(Journal_entrees_et_sorties!C$8:C$500,Journal_entrees_et_sorties!A$8:A$500,A383))</f>
        <v/>
      </c>
    </row>
    <row r="384" spans="1:4" x14ac:dyDescent="0.35">
      <c r="A384" s="2" t="str">
        <f>IF(Base_de_donnee_articles!A384="","",Base_de_donnee_articles!A384)</f>
        <v/>
      </c>
      <c r="D384" s="1" t="str">
        <f>IF(A384="","",SUMIFS(Journal_entrees_et_sorties!C$8:C$500,Journal_entrees_et_sorties!A$8:A$500,A384))</f>
        <v/>
      </c>
    </row>
    <row r="385" spans="1:4" x14ac:dyDescent="0.35">
      <c r="A385" s="2" t="str">
        <f>IF(Base_de_donnee_articles!A385="","",Base_de_donnee_articles!A385)</f>
        <v/>
      </c>
      <c r="D385" s="1" t="str">
        <f>IF(A385="","",SUMIFS(Journal_entrees_et_sorties!C$8:C$500,Journal_entrees_et_sorties!A$8:A$500,A385))</f>
        <v/>
      </c>
    </row>
    <row r="386" spans="1:4" x14ac:dyDescent="0.35">
      <c r="A386" s="2" t="str">
        <f>IF(Base_de_donnee_articles!A386="","",Base_de_donnee_articles!A386)</f>
        <v/>
      </c>
      <c r="D386" s="1" t="str">
        <f>IF(A386="","",SUMIFS(Journal_entrees_et_sorties!C$8:C$500,Journal_entrees_et_sorties!A$8:A$500,A386))</f>
        <v/>
      </c>
    </row>
    <row r="387" spans="1:4" x14ac:dyDescent="0.35">
      <c r="A387" s="2" t="str">
        <f>IF(Base_de_donnee_articles!A387="","",Base_de_donnee_articles!A387)</f>
        <v/>
      </c>
      <c r="D387" s="1" t="str">
        <f>IF(A387="","",SUMIFS(Journal_entrees_et_sorties!C$8:C$500,Journal_entrees_et_sorties!A$8:A$500,A387))</f>
        <v/>
      </c>
    </row>
    <row r="388" spans="1:4" x14ac:dyDescent="0.35">
      <c r="A388" s="2" t="str">
        <f>IF(Base_de_donnee_articles!A388="","",Base_de_donnee_articles!A388)</f>
        <v/>
      </c>
      <c r="D388" s="1" t="str">
        <f>IF(A388="","",SUMIFS(Journal_entrees_et_sorties!C$8:C$500,Journal_entrees_et_sorties!A$8:A$500,A388))</f>
        <v/>
      </c>
    </row>
    <row r="389" spans="1:4" x14ac:dyDescent="0.35">
      <c r="A389" s="2" t="str">
        <f>IF(Base_de_donnee_articles!A389="","",Base_de_donnee_articles!A389)</f>
        <v/>
      </c>
      <c r="D389" s="1" t="str">
        <f>IF(A389="","",SUMIFS(Journal_entrees_et_sorties!C$8:C$500,Journal_entrees_et_sorties!A$8:A$500,A389))</f>
        <v/>
      </c>
    </row>
    <row r="390" spans="1:4" x14ac:dyDescent="0.35">
      <c r="A390" s="2" t="str">
        <f>IF(Base_de_donnee_articles!A390="","",Base_de_donnee_articles!A390)</f>
        <v/>
      </c>
      <c r="D390" s="1" t="str">
        <f>IF(A390="","",SUMIFS(Journal_entrees_et_sorties!C$8:C$500,Journal_entrees_et_sorties!A$8:A$500,A390))</f>
        <v/>
      </c>
    </row>
    <row r="391" spans="1:4" x14ac:dyDescent="0.35">
      <c r="A391" s="2" t="str">
        <f>IF(Base_de_donnee_articles!A391="","",Base_de_donnee_articles!A391)</f>
        <v/>
      </c>
      <c r="D391" s="1" t="str">
        <f>IF(A391="","",SUMIFS(Journal_entrees_et_sorties!C$8:C$500,Journal_entrees_et_sorties!A$8:A$500,A391))</f>
        <v/>
      </c>
    </row>
    <row r="392" spans="1:4" x14ac:dyDescent="0.35">
      <c r="A392" s="2" t="str">
        <f>IF(Base_de_donnee_articles!A392="","",Base_de_donnee_articles!A392)</f>
        <v/>
      </c>
      <c r="D392" s="1" t="str">
        <f>IF(A392="","",SUMIFS(Journal_entrees_et_sorties!C$8:C$500,Journal_entrees_et_sorties!A$8:A$500,A392))</f>
        <v/>
      </c>
    </row>
    <row r="393" spans="1:4" x14ac:dyDescent="0.35">
      <c r="A393" s="2" t="str">
        <f>IF(Base_de_donnee_articles!A393="","",Base_de_donnee_articles!A393)</f>
        <v/>
      </c>
      <c r="D393" s="1" t="str">
        <f>IF(A393="","",SUMIFS(Journal_entrees_et_sorties!C$8:C$500,Journal_entrees_et_sorties!A$8:A$500,A393))</f>
        <v/>
      </c>
    </row>
    <row r="394" spans="1:4" x14ac:dyDescent="0.35">
      <c r="A394" s="2" t="str">
        <f>IF(Base_de_donnee_articles!A394="","",Base_de_donnee_articles!A394)</f>
        <v/>
      </c>
      <c r="D394" s="1" t="str">
        <f>IF(A394="","",SUMIFS(Journal_entrees_et_sorties!C$8:C$500,Journal_entrees_et_sorties!A$8:A$500,A394))</f>
        <v/>
      </c>
    </row>
    <row r="395" spans="1:4" x14ac:dyDescent="0.35">
      <c r="A395" s="2" t="str">
        <f>IF(Base_de_donnee_articles!A395="","",Base_de_donnee_articles!A395)</f>
        <v/>
      </c>
      <c r="D395" s="1" t="str">
        <f>IF(A395="","",SUMIFS(Journal_entrees_et_sorties!C$8:C$500,Journal_entrees_et_sorties!A$8:A$500,A395))</f>
        <v/>
      </c>
    </row>
    <row r="396" spans="1:4" x14ac:dyDescent="0.35">
      <c r="A396" s="2" t="str">
        <f>IF(Base_de_donnee_articles!A396="","",Base_de_donnee_articles!A396)</f>
        <v/>
      </c>
      <c r="D396" s="1" t="str">
        <f>IF(A396="","",SUMIFS(Journal_entrees_et_sorties!C$8:C$500,Journal_entrees_et_sorties!A$8:A$500,A396))</f>
        <v/>
      </c>
    </row>
    <row r="397" spans="1:4" x14ac:dyDescent="0.35">
      <c r="A397" s="2" t="str">
        <f>IF(Base_de_donnee_articles!A397="","",Base_de_donnee_articles!A397)</f>
        <v/>
      </c>
      <c r="D397" s="1" t="str">
        <f>IF(A397="","",SUMIFS(Journal_entrees_et_sorties!C$8:C$500,Journal_entrees_et_sorties!A$8:A$500,A397))</f>
        <v/>
      </c>
    </row>
    <row r="398" spans="1:4" x14ac:dyDescent="0.35">
      <c r="A398" s="2" t="str">
        <f>IF(Base_de_donnee_articles!A398="","",Base_de_donnee_articles!A398)</f>
        <v/>
      </c>
      <c r="D398" s="1" t="str">
        <f>IF(A398="","",SUMIFS(Journal_entrees_et_sorties!C$8:C$500,Journal_entrees_et_sorties!A$8:A$500,A398))</f>
        <v/>
      </c>
    </row>
    <row r="399" spans="1:4" x14ac:dyDescent="0.35">
      <c r="A399" s="2" t="str">
        <f>IF(Base_de_donnee_articles!A399="","",Base_de_donnee_articles!A399)</f>
        <v/>
      </c>
      <c r="D399" s="1" t="str">
        <f>IF(A399="","",SUMIFS(Journal_entrees_et_sorties!C$8:C$500,Journal_entrees_et_sorties!A$8:A$500,A399))</f>
        <v/>
      </c>
    </row>
    <row r="400" spans="1:4" x14ac:dyDescent="0.35">
      <c r="A400" s="2" t="str">
        <f>IF(Base_de_donnee_articles!A400="","",Base_de_donnee_articles!A400)</f>
        <v/>
      </c>
      <c r="D400" s="1" t="str">
        <f>IF(A400="","",SUMIFS(Journal_entrees_et_sorties!C$8:C$500,Journal_entrees_et_sorties!A$8:A$500,A400))</f>
        <v/>
      </c>
    </row>
    <row r="401" spans="1:4" x14ac:dyDescent="0.35">
      <c r="A401" s="2" t="str">
        <f>IF(Base_de_donnee_articles!A401="","",Base_de_donnee_articles!A401)</f>
        <v/>
      </c>
      <c r="D401" s="1" t="str">
        <f>IF(A401="","",SUMIFS(Journal_entrees_et_sorties!C$8:C$500,Journal_entrees_et_sorties!A$8:A$500,A401))</f>
        <v/>
      </c>
    </row>
    <row r="402" spans="1:4" x14ac:dyDescent="0.35">
      <c r="A402" s="2" t="str">
        <f>IF(Base_de_donnee_articles!A402="","",Base_de_donnee_articles!A402)</f>
        <v/>
      </c>
      <c r="D402" s="1" t="str">
        <f>IF(A402="","",SUMIFS(Journal_entrees_et_sorties!C$8:C$500,Journal_entrees_et_sorties!A$8:A$500,A402))</f>
        <v/>
      </c>
    </row>
    <row r="403" spans="1:4" x14ac:dyDescent="0.35">
      <c r="A403" s="2" t="str">
        <f>IF(Base_de_donnee_articles!A403="","",Base_de_donnee_articles!A403)</f>
        <v/>
      </c>
      <c r="D403" s="1" t="str">
        <f>IF(A403="","",SUMIFS(Journal_entrees_et_sorties!C$8:C$500,Journal_entrees_et_sorties!A$8:A$500,A403))</f>
        <v/>
      </c>
    </row>
    <row r="404" spans="1:4" x14ac:dyDescent="0.35">
      <c r="A404" s="2" t="str">
        <f>IF(Base_de_donnee_articles!A404="","",Base_de_donnee_articles!A404)</f>
        <v/>
      </c>
      <c r="D404" s="1" t="str">
        <f>IF(A404="","",SUMIFS(Journal_entrees_et_sorties!C$8:C$500,Journal_entrees_et_sorties!A$8:A$500,A404))</f>
        <v/>
      </c>
    </row>
    <row r="405" spans="1:4" x14ac:dyDescent="0.35">
      <c r="A405" s="2" t="str">
        <f>IF(Base_de_donnee_articles!A405="","",Base_de_donnee_articles!A405)</f>
        <v/>
      </c>
      <c r="D405" s="1" t="str">
        <f>IF(A405="","",SUMIFS(Journal_entrees_et_sorties!C$8:C$500,Journal_entrees_et_sorties!A$8:A$500,A405))</f>
        <v/>
      </c>
    </row>
    <row r="406" spans="1:4" x14ac:dyDescent="0.35">
      <c r="A406" s="2" t="str">
        <f>IF(Base_de_donnee_articles!A406="","",Base_de_donnee_articles!A406)</f>
        <v/>
      </c>
      <c r="D406" s="1" t="str">
        <f>IF(A406="","",SUMIFS(Journal_entrees_et_sorties!C$8:C$500,Journal_entrees_et_sorties!A$8:A$500,A406))</f>
        <v/>
      </c>
    </row>
    <row r="407" spans="1:4" x14ac:dyDescent="0.35">
      <c r="A407" s="2" t="str">
        <f>IF(Base_de_donnee_articles!A407="","",Base_de_donnee_articles!A407)</f>
        <v/>
      </c>
      <c r="D407" s="1" t="str">
        <f>IF(A407="","",SUMIFS(Journal_entrees_et_sorties!C$8:C$500,Journal_entrees_et_sorties!A$8:A$500,A407))</f>
        <v/>
      </c>
    </row>
    <row r="408" spans="1:4" x14ac:dyDescent="0.35">
      <c r="A408" s="2" t="str">
        <f>IF(Base_de_donnee_articles!A408="","",Base_de_donnee_articles!A408)</f>
        <v/>
      </c>
      <c r="D408" s="1" t="str">
        <f>IF(A408="","",SUMIFS(Journal_entrees_et_sorties!C$8:C$500,Journal_entrees_et_sorties!A$8:A$500,A408))</f>
        <v/>
      </c>
    </row>
    <row r="409" spans="1:4" x14ac:dyDescent="0.35">
      <c r="A409" s="2" t="str">
        <f>IF(Base_de_donnee_articles!A409="","",Base_de_donnee_articles!A409)</f>
        <v/>
      </c>
      <c r="D409" s="1" t="str">
        <f>IF(A409="","",SUMIFS(Journal_entrees_et_sorties!C$8:C$500,Journal_entrees_et_sorties!A$8:A$500,A409))</f>
        <v/>
      </c>
    </row>
    <row r="410" spans="1:4" x14ac:dyDescent="0.35">
      <c r="A410" s="2" t="str">
        <f>IF(Base_de_donnee_articles!A410="","",Base_de_donnee_articles!A410)</f>
        <v/>
      </c>
      <c r="D410" s="1" t="str">
        <f>IF(A410="","",SUMIFS(Journal_entrees_et_sorties!C$8:C$500,Journal_entrees_et_sorties!A$8:A$500,A410))</f>
        <v/>
      </c>
    </row>
    <row r="411" spans="1:4" x14ac:dyDescent="0.35">
      <c r="A411" s="2" t="str">
        <f>IF(Base_de_donnee_articles!A411="","",Base_de_donnee_articles!A411)</f>
        <v/>
      </c>
      <c r="D411" s="1" t="str">
        <f>IF(A411="","",SUMIFS(Journal_entrees_et_sorties!C$8:C$500,Journal_entrees_et_sorties!A$8:A$500,A411))</f>
        <v/>
      </c>
    </row>
    <row r="412" spans="1:4" x14ac:dyDescent="0.35">
      <c r="A412" s="2" t="str">
        <f>IF(Base_de_donnee_articles!A412="","",Base_de_donnee_articles!A412)</f>
        <v/>
      </c>
      <c r="D412" s="1" t="str">
        <f>IF(A412="","",SUMIFS(Journal_entrees_et_sorties!C$8:C$500,Journal_entrees_et_sorties!A$8:A$500,A412))</f>
        <v/>
      </c>
    </row>
    <row r="413" spans="1:4" x14ac:dyDescent="0.35">
      <c r="A413" s="2" t="str">
        <f>IF(Base_de_donnee_articles!A413="","",Base_de_donnee_articles!A413)</f>
        <v/>
      </c>
      <c r="D413" s="1" t="str">
        <f>IF(A413="","",SUMIFS(Journal_entrees_et_sorties!C$8:C$500,Journal_entrees_et_sorties!A$8:A$500,A413))</f>
        <v/>
      </c>
    </row>
    <row r="414" spans="1:4" x14ac:dyDescent="0.35">
      <c r="A414" s="2" t="str">
        <f>IF(Base_de_donnee_articles!A414="","",Base_de_donnee_articles!A414)</f>
        <v/>
      </c>
      <c r="D414" s="1" t="str">
        <f>IF(A414="","",SUMIFS(Journal_entrees_et_sorties!C$8:C$500,Journal_entrees_et_sorties!A$8:A$500,A414))</f>
        <v/>
      </c>
    </row>
    <row r="415" spans="1:4" x14ac:dyDescent="0.35">
      <c r="A415" s="2" t="str">
        <f>IF(Base_de_donnee_articles!A415="","",Base_de_donnee_articles!A415)</f>
        <v/>
      </c>
      <c r="D415" s="1" t="str">
        <f>IF(A415="","",SUMIFS(Journal_entrees_et_sorties!C$8:C$500,Journal_entrees_et_sorties!A$8:A$500,A415))</f>
        <v/>
      </c>
    </row>
    <row r="416" spans="1:4" x14ac:dyDescent="0.35">
      <c r="A416" s="2" t="str">
        <f>IF(Base_de_donnee_articles!A416="","",Base_de_donnee_articles!A416)</f>
        <v/>
      </c>
      <c r="D416" s="1" t="str">
        <f>IF(A416="","",SUMIFS(Journal_entrees_et_sorties!C$8:C$500,Journal_entrees_et_sorties!A$8:A$500,A416))</f>
        <v/>
      </c>
    </row>
    <row r="417" spans="1:4" x14ac:dyDescent="0.35">
      <c r="A417" s="2" t="str">
        <f>IF(Base_de_donnee_articles!A417="","",Base_de_donnee_articles!A417)</f>
        <v/>
      </c>
      <c r="D417" s="1" t="str">
        <f>IF(A417="","",SUMIFS(Journal_entrees_et_sorties!C$8:C$500,Journal_entrees_et_sorties!A$8:A$500,A417))</f>
        <v/>
      </c>
    </row>
    <row r="418" spans="1:4" x14ac:dyDescent="0.35">
      <c r="A418" s="2" t="str">
        <f>IF(Base_de_donnee_articles!A418="","",Base_de_donnee_articles!A418)</f>
        <v/>
      </c>
      <c r="D418" s="1" t="str">
        <f>IF(A418="","",SUMIFS(Journal_entrees_et_sorties!C$8:C$500,Journal_entrees_et_sorties!A$8:A$500,A418))</f>
        <v/>
      </c>
    </row>
    <row r="419" spans="1:4" x14ac:dyDescent="0.35">
      <c r="A419" s="2" t="str">
        <f>IF(Base_de_donnee_articles!A419="","",Base_de_donnee_articles!A419)</f>
        <v/>
      </c>
      <c r="D419" s="1" t="str">
        <f>IF(A419="","",SUMIFS(Journal_entrees_et_sorties!C$8:C$500,Journal_entrees_et_sorties!A$8:A$500,A419))</f>
        <v/>
      </c>
    </row>
    <row r="420" spans="1:4" x14ac:dyDescent="0.35">
      <c r="A420" s="2" t="str">
        <f>IF(Base_de_donnee_articles!A420="","",Base_de_donnee_articles!A420)</f>
        <v/>
      </c>
      <c r="D420" s="1" t="str">
        <f>IF(A420="","",SUMIFS(Journal_entrees_et_sorties!C$8:C$500,Journal_entrees_et_sorties!A$8:A$500,A420))</f>
        <v/>
      </c>
    </row>
    <row r="421" spans="1:4" x14ac:dyDescent="0.35">
      <c r="A421" s="2" t="str">
        <f>IF(Base_de_donnee_articles!A421="","",Base_de_donnee_articles!A421)</f>
        <v/>
      </c>
      <c r="D421" s="1" t="str">
        <f>IF(A421="","",SUMIFS(Journal_entrees_et_sorties!C$8:C$500,Journal_entrees_et_sorties!A$8:A$500,A421))</f>
        <v/>
      </c>
    </row>
    <row r="422" spans="1:4" x14ac:dyDescent="0.35">
      <c r="A422" s="2" t="str">
        <f>IF(Base_de_donnee_articles!A422="","",Base_de_donnee_articles!A422)</f>
        <v/>
      </c>
      <c r="D422" s="1" t="str">
        <f>IF(A422="","",SUMIFS(Journal_entrees_et_sorties!C$8:C$500,Journal_entrees_et_sorties!A$8:A$500,A422))</f>
        <v/>
      </c>
    </row>
    <row r="423" spans="1:4" x14ac:dyDescent="0.35">
      <c r="A423" s="2" t="str">
        <f>IF(Base_de_donnee_articles!A423="","",Base_de_donnee_articles!A423)</f>
        <v/>
      </c>
      <c r="D423" s="1" t="str">
        <f>IF(A423="","",SUMIFS(Journal_entrees_et_sorties!C$8:C$500,Journal_entrees_et_sorties!A$8:A$500,A423))</f>
        <v/>
      </c>
    </row>
    <row r="424" spans="1:4" x14ac:dyDescent="0.35">
      <c r="A424" s="2" t="str">
        <f>IF(Base_de_donnee_articles!A424="","",Base_de_donnee_articles!A424)</f>
        <v/>
      </c>
      <c r="D424" s="1" t="str">
        <f>IF(A424="","",SUMIFS(Journal_entrees_et_sorties!C$8:C$500,Journal_entrees_et_sorties!A$8:A$500,A424))</f>
        <v/>
      </c>
    </row>
    <row r="425" spans="1:4" x14ac:dyDescent="0.35">
      <c r="A425" s="2" t="str">
        <f>IF(Base_de_donnee_articles!A425="","",Base_de_donnee_articles!A425)</f>
        <v/>
      </c>
      <c r="D425" s="1" t="str">
        <f>IF(A425="","",SUMIFS(Journal_entrees_et_sorties!C$8:C$500,Journal_entrees_et_sorties!A$8:A$500,A425))</f>
        <v/>
      </c>
    </row>
    <row r="426" spans="1:4" x14ac:dyDescent="0.35">
      <c r="A426" s="2" t="str">
        <f>IF(Base_de_donnee_articles!A426="","",Base_de_donnee_articles!A426)</f>
        <v/>
      </c>
      <c r="D426" s="1" t="str">
        <f>IF(A426="","",SUMIFS(Journal_entrees_et_sorties!C$8:C$500,Journal_entrees_et_sorties!A$8:A$500,A426))</f>
        <v/>
      </c>
    </row>
    <row r="427" spans="1:4" x14ac:dyDescent="0.35">
      <c r="A427" s="2" t="str">
        <f>IF(Base_de_donnee_articles!A427="","",Base_de_donnee_articles!A427)</f>
        <v/>
      </c>
      <c r="D427" s="1" t="str">
        <f>IF(A427="","",SUMIFS(Journal_entrees_et_sorties!C$8:C$500,Journal_entrees_et_sorties!A$8:A$500,A427))</f>
        <v/>
      </c>
    </row>
    <row r="428" spans="1:4" x14ac:dyDescent="0.35">
      <c r="A428" s="2" t="str">
        <f>IF(Base_de_donnee_articles!A428="","",Base_de_donnee_articles!A428)</f>
        <v/>
      </c>
      <c r="D428" s="1" t="str">
        <f>IF(A428="","",SUMIFS(Journal_entrees_et_sorties!C$8:C$500,Journal_entrees_et_sorties!A$8:A$500,A428))</f>
        <v/>
      </c>
    </row>
    <row r="429" spans="1:4" x14ac:dyDescent="0.35">
      <c r="A429" s="2" t="str">
        <f>IF(Base_de_donnee_articles!A429="","",Base_de_donnee_articles!A429)</f>
        <v/>
      </c>
      <c r="D429" s="1" t="str">
        <f>IF(A429="","",SUMIFS(Journal_entrees_et_sorties!C$8:C$500,Journal_entrees_et_sorties!A$8:A$500,A429))</f>
        <v/>
      </c>
    </row>
    <row r="430" spans="1:4" x14ac:dyDescent="0.35">
      <c r="A430" s="2" t="str">
        <f>IF(Base_de_donnee_articles!A430="","",Base_de_donnee_articles!A430)</f>
        <v/>
      </c>
      <c r="D430" s="1" t="str">
        <f>IF(A430="","",SUMIFS(Journal_entrees_et_sorties!C$8:C$500,Journal_entrees_et_sorties!A$8:A$500,A430))</f>
        <v/>
      </c>
    </row>
    <row r="431" spans="1:4" x14ac:dyDescent="0.35">
      <c r="A431" s="2" t="str">
        <f>IF(Base_de_donnee_articles!A431="","",Base_de_donnee_articles!A431)</f>
        <v/>
      </c>
      <c r="D431" s="1" t="str">
        <f>IF(A431="","",SUMIFS(Journal_entrees_et_sorties!C$8:C$500,Journal_entrees_et_sorties!A$8:A$500,A431))</f>
        <v/>
      </c>
    </row>
    <row r="432" spans="1:4" x14ac:dyDescent="0.35">
      <c r="A432" s="2" t="str">
        <f>IF(Base_de_donnee_articles!A432="","",Base_de_donnee_articles!A432)</f>
        <v/>
      </c>
      <c r="D432" s="1" t="str">
        <f>IF(A432="","",SUMIFS(Journal_entrees_et_sorties!C$8:C$500,Journal_entrees_et_sorties!A$8:A$500,A432))</f>
        <v/>
      </c>
    </row>
    <row r="433" spans="1:4" x14ac:dyDescent="0.35">
      <c r="A433" s="2" t="str">
        <f>IF(Base_de_donnee_articles!A433="","",Base_de_donnee_articles!A433)</f>
        <v/>
      </c>
      <c r="D433" s="1" t="str">
        <f>IF(A433="","",SUMIFS(Journal_entrees_et_sorties!C$8:C$500,Journal_entrees_et_sorties!A$8:A$500,A433))</f>
        <v/>
      </c>
    </row>
    <row r="434" spans="1:4" x14ac:dyDescent="0.35">
      <c r="A434" s="2" t="str">
        <f>IF(Base_de_donnee_articles!A434="","",Base_de_donnee_articles!A434)</f>
        <v/>
      </c>
      <c r="D434" s="1" t="str">
        <f>IF(A434="","",SUMIFS(Journal_entrees_et_sorties!C$8:C$500,Journal_entrees_et_sorties!A$8:A$500,A434))</f>
        <v/>
      </c>
    </row>
    <row r="435" spans="1:4" x14ac:dyDescent="0.35">
      <c r="A435" s="2" t="str">
        <f>IF(Base_de_donnee_articles!A435="","",Base_de_donnee_articles!A435)</f>
        <v/>
      </c>
      <c r="D435" s="1" t="str">
        <f>IF(A435="","",SUMIFS(Journal_entrees_et_sorties!C$8:C$500,Journal_entrees_et_sorties!A$8:A$500,A435))</f>
        <v/>
      </c>
    </row>
    <row r="436" spans="1:4" x14ac:dyDescent="0.35">
      <c r="A436" s="2" t="str">
        <f>IF(Base_de_donnee_articles!A436="","",Base_de_donnee_articles!A436)</f>
        <v/>
      </c>
      <c r="D436" s="1" t="str">
        <f>IF(A436="","",SUMIFS(Journal_entrees_et_sorties!C$8:C$500,Journal_entrees_et_sorties!A$8:A$500,A436))</f>
        <v/>
      </c>
    </row>
    <row r="437" spans="1:4" x14ac:dyDescent="0.35">
      <c r="A437" s="2" t="str">
        <f>IF(Base_de_donnee_articles!A437="","",Base_de_donnee_articles!A437)</f>
        <v/>
      </c>
      <c r="D437" s="1" t="str">
        <f>IF(A437="","",SUMIFS(Journal_entrees_et_sorties!C$8:C$500,Journal_entrees_et_sorties!A$8:A$500,A437))</f>
        <v/>
      </c>
    </row>
    <row r="438" spans="1:4" x14ac:dyDescent="0.35">
      <c r="A438" s="2" t="str">
        <f>IF(Base_de_donnee_articles!A438="","",Base_de_donnee_articles!A438)</f>
        <v/>
      </c>
      <c r="D438" s="1" t="str">
        <f>IF(A438="","",SUMIFS(Journal_entrees_et_sorties!C$8:C$500,Journal_entrees_et_sorties!A$8:A$500,A438))</f>
        <v/>
      </c>
    </row>
    <row r="439" spans="1:4" x14ac:dyDescent="0.35">
      <c r="A439" s="2" t="str">
        <f>IF(Base_de_donnee_articles!A439="","",Base_de_donnee_articles!A439)</f>
        <v/>
      </c>
      <c r="D439" s="1" t="str">
        <f>IF(A439="","",SUMIFS(Journal_entrees_et_sorties!C$8:C$500,Journal_entrees_et_sorties!A$8:A$500,A439))</f>
        <v/>
      </c>
    </row>
    <row r="440" spans="1:4" x14ac:dyDescent="0.35">
      <c r="A440" s="2" t="str">
        <f>IF(Base_de_donnee_articles!A440="","",Base_de_donnee_articles!A440)</f>
        <v/>
      </c>
      <c r="D440" s="1" t="str">
        <f>IF(A440="","",SUMIFS(Journal_entrees_et_sorties!C$8:C$500,Journal_entrees_et_sorties!A$8:A$500,A440))</f>
        <v/>
      </c>
    </row>
    <row r="441" spans="1:4" x14ac:dyDescent="0.35">
      <c r="A441" s="2" t="str">
        <f>IF(Base_de_donnee_articles!A441="","",Base_de_donnee_articles!A441)</f>
        <v/>
      </c>
      <c r="D441" s="1" t="str">
        <f>IF(A441="","",SUMIFS(Journal_entrees_et_sorties!C$8:C$500,Journal_entrees_et_sorties!A$8:A$500,A441))</f>
        <v/>
      </c>
    </row>
    <row r="442" spans="1:4" x14ac:dyDescent="0.35">
      <c r="A442" s="2" t="str">
        <f>IF(Base_de_donnee_articles!A442="","",Base_de_donnee_articles!A442)</f>
        <v/>
      </c>
      <c r="D442" s="1" t="str">
        <f>IF(A442="","",SUMIFS(Journal_entrees_et_sorties!C$8:C$500,Journal_entrees_et_sorties!A$8:A$500,A442))</f>
        <v/>
      </c>
    </row>
    <row r="443" spans="1:4" x14ac:dyDescent="0.35">
      <c r="A443" s="2" t="str">
        <f>IF(Base_de_donnee_articles!A443="","",Base_de_donnee_articles!A443)</f>
        <v/>
      </c>
      <c r="D443" s="1" t="str">
        <f>IF(A443="","",SUMIFS(Journal_entrees_et_sorties!C$8:C$500,Journal_entrees_et_sorties!A$8:A$500,A443))</f>
        <v/>
      </c>
    </row>
    <row r="444" spans="1:4" x14ac:dyDescent="0.35">
      <c r="A444" s="2" t="str">
        <f>IF(Base_de_donnee_articles!A444="","",Base_de_donnee_articles!A444)</f>
        <v/>
      </c>
      <c r="D444" s="1" t="str">
        <f>IF(A444="","",SUMIFS(Journal_entrees_et_sorties!C$8:C$500,Journal_entrees_et_sorties!A$8:A$500,A444))</f>
        <v/>
      </c>
    </row>
    <row r="445" spans="1:4" x14ac:dyDescent="0.35">
      <c r="A445" s="2" t="str">
        <f>IF(Base_de_donnee_articles!A445="","",Base_de_donnee_articles!A445)</f>
        <v/>
      </c>
      <c r="D445" s="1" t="str">
        <f>IF(A445="","",SUMIFS(Journal_entrees_et_sorties!C$8:C$500,Journal_entrees_et_sorties!A$8:A$500,A445))</f>
        <v/>
      </c>
    </row>
    <row r="446" spans="1:4" x14ac:dyDescent="0.35">
      <c r="A446" s="2" t="str">
        <f>IF(Base_de_donnee_articles!A446="","",Base_de_donnee_articles!A446)</f>
        <v/>
      </c>
      <c r="D446" s="1" t="str">
        <f>IF(A446="","",SUMIFS(Journal_entrees_et_sorties!C$8:C$500,Journal_entrees_et_sorties!A$8:A$500,A446))</f>
        <v/>
      </c>
    </row>
    <row r="447" spans="1:4" x14ac:dyDescent="0.35">
      <c r="A447" s="2" t="str">
        <f>IF(Base_de_donnee_articles!A447="","",Base_de_donnee_articles!A447)</f>
        <v/>
      </c>
      <c r="D447" s="1" t="str">
        <f>IF(A447="","",SUMIFS(Journal_entrees_et_sorties!C$8:C$500,Journal_entrees_et_sorties!A$8:A$500,A447))</f>
        <v/>
      </c>
    </row>
    <row r="448" spans="1:4" x14ac:dyDescent="0.35">
      <c r="A448" s="2" t="str">
        <f>IF(Base_de_donnee_articles!A448="","",Base_de_donnee_articles!A448)</f>
        <v/>
      </c>
      <c r="D448" s="1" t="str">
        <f>IF(A448="","",SUMIFS(Journal_entrees_et_sorties!C$8:C$500,Journal_entrees_et_sorties!A$8:A$500,A448))</f>
        <v/>
      </c>
    </row>
    <row r="449" spans="4:4" x14ac:dyDescent="0.35">
      <c r="D449" s="1" t="str">
        <f>IF(A449="","",SUMIFS(Journal_entrees_et_sorties!C$8:C$500,Journal_entrees_et_sorties!A$8:A$500,A449))</f>
        <v/>
      </c>
    </row>
    <row r="450" spans="4:4" x14ac:dyDescent="0.35">
      <c r="D450" s="1" t="str">
        <f>IF(A450="","",SUMIFS(Journal_entrees_et_sorties!C$8:C$500,Journal_entrees_et_sorties!A$8:A$500,A450))</f>
        <v/>
      </c>
    </row>
    <row r="451" spans="4:4" x14ac:dyDescent="0.35">
      <c r="D451" s="1" t="str">
        <f>IF(A451="","",SUMIFS(Journal_entrees_et_sorties!C$8:C$500,Journal_entrees_et_sorties!A$8:A$500,A451))</f>
        <v/>
      </c>
    </row>
    <row r="452" spans="4:4" x14ac:dyDescent="0.35">
      <c r="D452" s="1" t="str">
        <f>IF(A452="","",SUMIFS(Journal_entrees_et_sorties!C$8:C$500,Journal_entrees_et_sorties!A$8:A$500,A452))</f>
        <v/>
      </c>
    </row>
    <row r="453" spans="4:4" x14ac:dyDescent="0.35">
      <c r="D453" s="1" t="str">
        <f>IF(A453="","",SUMIFS(Journal_entrees_et_sorties!C$8:C$500,Journal_entrees_et_sorties!A$8:A$500,A453))</f>
        <v/>
      </c>
    </row>
    <row r="454" spans="4:4" x14ac:dyDescent="0.35">
      <c r="D454" s="1" t="str">
        <f>IF(A454="","",SUMIFS(Journal_entrees_et_sorties!C$8:C$500,Journal_entrees_et_sorties!A$8:A$500,A454))</f>
        <v/>
      </c>
    </row>
  </sheetData>
  <mergeCells count="1">
    <mergeCell ref="C2:F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B1:G457"/>
  <sheetViews>
    <sheetView workbookViewId="0">
      <selection activeCell="J27" sqref="J27"/>
    </sheetView>
  </sheetViews>
  <sheetFormatPr baseColWidth="10" defaultRowHeight="14.5" x14ac:dyDescent="0.35"/>
  <cols>
    <col min="2" max="2" width="34.1796875" customWidth="1"/>
    <col min="3" max="3" width="17.81640625" customWidth="1"/>
  </cols>
  <sheetData>
    <row r="1" spans="2:7" ht="15" thickBot="1" x14ac:dyDescent="0.4"/>
    <row r="2" spans="2:7" x14ac:dyDescent="0.35">
      <c r="C2" s="36" t="s">
        <v>6</v>
      </c>
      <c r="D2" s="37"/>
      <c r="E2" s="37"/>
      <c r="F2" s="38"/>
    </row>
    <row r="3" spans="2:7" ht="15" thickBot="1" x14ac:dyDescent="0.4">
      <c r="C3" s="39"/>
      <c r="D3" s="40"/>
      <c r="E3" s="40"/>
      <c r="F3" s="41"/>
    </row>
    <row r="7" spans="2:7" x14ac:dyDescent="0.35">
      <c r="B7" s="6" t="s">
        <v>5</v>
      </c>
      <c r="C7" s="6" t="s">
        <v>0</v>
      </c>
      <c r="D7" s="6" t="s">
        <v>4</v>
      </c>
      <c r="E7" s="6" t="s">
        <v>3</v>
      </c>
      <c r="F7" s="6" t="s">
        <v>10</v>
      </c>
      <c r="G7" s="6" t="s">
        <v>11</v>
      </c>
    </row>
    <row r="8" spans="2:7" x14ac:dyDescent="0.35">
      <c r="B8" s="2" t="str">
        <f>IF(Base_de_donnee_articles!B8="","",Base_de_donnee_articles!B8)</f>
        <v xml:space="preserve">blanc de poulet </v>
      </c>
      <c r="C8" s="2">
        <f>IF(Base_de_donnee_articles!C8="","",Base_de_donnee_articles!C8)</f>
        <v>108252</v>
      </c>
      <c r="D8" s="2">
        <f>IF(Inventaire!C8="","",Inventaire!C8/Base_de_donnee_articles!G8)</f>
        <v>0</v>
      </c>
      <c r="E8" s="2">
        <f>IF(B8="","",SUMIFS(Journal_entrees_et_sorties!D$8:D$400,Journal_entrees_et_sorties!C$8:C$400,C8))</f>
        <v>0</v>
      </c>
      <c r="F8" s="2">
        <f>IF(Inventaire!D8="","",Inventaire!D8/Base_de_donnee_articles!G8)</f>
        <v>0</v>
      </c>
      <c r="G8" s="3">
        <f>IF(C8="","",D8+E8-F8)</f>
        <v>0</v>
      </c>
    </row>
    <row r="9" spans="2:7" x14ac:dyDescent="0.35">
      <c r="B9" s="2" t="str">
        <f>IF(Base_de_donnee_articles!B9="","",Base_de_donnee_articles!B9)</f>
        <v>expresso graindor</v>
      </c>
      <c r="C9" s="2">
        <f>IF(Base_de_donnee_articles!C9="","",Base_de_donnee_articles!C9)</f>
        <v>112958</v>
      </c>
      <c r="D9" s="2">
        <f>IF(Inventaire!C9="","",Inventaire!C9/Base_de_donnee_articles!G9)</f>
        <v>0</v>
      </c>
      <c r="E9" s="2">
        <f>IF(B9="","",SUMIFS(Journal_entrees_et_sorties!D$8:D$400,Journal_entrees_et_sorties!C$8:C$400,C9))</f>
        <v>0</v>
      </c>
      <c r="F9" s="2">
        <f>IF(Inventaire!D9="","",Inventaire!D9/Base_de_donnee_articles!G9)</f>
        <v>0</v>
      </c>
      <c r="G9" s="3">
        <f t="shared" ref="G9:G72" si="0">IF(C9="","",D9+E9-F9)</f>
        <v>0</v>
      </c>
    </row>
    <row r="10" spans="2:7" x14ac:dyDescent="0.35">
      <c r="B10" s="2" t="str">
        <f>IF(Base_de_donnee_articles!B10="","",Base_de_donnee_articles!B10)</f>
        <v xml:space="preserve">pruneaux agen </v>
      </c>
      <c r="C10" s="2">
        <f>IF(Base_de_donnee_articles!C10="","",Base_de_donnee_articles!C10)</f>
        <v>11316</v>
      </c>
      <c r="D10" s="2">
        <f>IF(Inventaire!C10="","",Inventaire!C10/Base_de_donnee_articles!G10)</f>
        <v>0</v>
      </c>
      <c r="E10" s="2">
        <f>IF(B10="","",SUMIFS(Journal_entrees_et_sorties!D$8:D$400,Journal_entrees_et_sorties!C$8:C$400,C10))</f>
        <v>0</v>
      </c>
      <c r="F10" s="2">
        <f>IF(Inventaire!D10="","",Inventaire!D10/Base_de_donnee_articles!G10)</f>
        <v>0</v>
      </c>
      <c r="G10" s="3">
        <f t="shared" si="0"/>
        <v>0</v>
      </c>
    </row>
    <row r="11" spans="2:7" x14ac:dyDescent="0.35">
      <c r="B11" s="2" t="str">
        <f>IF(Base_de_donnee_articles!B11="","",Base_de_donnee_articles!B11)</f>
        <v>camembert</v>
      </c>
      <c r="C11" s="2">
        <f>IF(Base_de_donnee_articles!C11="","",Base_de_donnee_articles!C11)</f>
        <v>27067</v>
      </c>
      <c r="D11" s="2">
        <f>IF(Inventaire!C11="","",Inventaire!C11/Base_de_donnee_articles!G11)</f>
        <v>0</v>
      </c>
      <c r="E11" s="2">
        <f>IF(B11="","",SUMIFS(Journal_entrees_et_sorties!D$8:D$400,Journal_entrees_et_sorties!C$8:C$400,C11))</f>
        <v>0</v>
      </c>
      <c r="F11" s="2">
        <f>IF(Inventaire!D11="","",Inventaire!D11/Base_de_donnee_articles!G11)</f>
        <v>0</v>
      </c>
      <c r="G11" s="3">
        <f t="shared" si="0"/>
        <v>0</v>
      </c>
    </row>
    <row r="12" spans="2:7" x14ac:dyDescent="0.35">
      <c r="B12" s="2" t="str">
        <f>IF(Base_de_donnee_articles!B12="","",Base_de_donnee_articles!B12)</f>
        <v>activia nature</v>
      </c>
      <c r="C12" s="2">
        <f>IF(Base_de_donnee_articles!C12="","",Base_de_donnee_articles!C12)</f>
        <v>27723</v>
      </c>
      <c r="D12" s="2">
        <f>IF(Inventaire!C12="","",Inventaire!C12/Base_de_donnee_articles!G12)</f>
        <v>0</v>
      </c>
      <c r="E12" s="2">
        <f>IF(B12="","",SUMIFS(Journal_entrees_et_sorties!D$8:D$400,Journal_entrees_et_sorties!C$8:C$400,C12))</f>
        <v>0</v>
      </c>
      <c r="F12" s="2">
        <f>IF(Inventaire!D12="","",Inventaire!D12/Base_de_donnee_articles!G12)</f>
        <v>0</v>
      </c>
      <c r="G12" s="3">
        <f t="shared" si="0"/>
        <v>0</v>
      </c>
    </row>
    <row r="13" spans="2:7" x14ac:dyDescent="0.35">
      <c r="B13" s="2" t="str">
        <f>IF(Base_de_donnee_articles!B13="","",Base_de_donnee_articles!B13)</f>
        <v>activia fruits panaché</v>
      </c>
      <c r="C13" s="2">
        <f>IF(Base_de_donnee_articles!C13="","",Base_de_donnee_articles!C13)</f>
        <v>28749</v>
      </c>
      <c r="D13" s="2">
        <f>IF(Inventaire!C13="","",Inventaire!C13/Base_de_donnee_articles!G13)</f>
        <v>0</v>
      </c>
      <c r="E13" s="2">
        <f>IF(B13="","",SUMIFS(Journal_entrees_et_sorties!D$8:D$400,Journal_entrees_et_sorties!C$8:C$400,C13))</f>
        <v>0</v>
      </c>
      <c r="F13" s="2">
        <f>IF(Inventaire!D13="","",Inventaire!D13/Base_de_donnee_articles!G13)</f>
        <v>0</v>
      </c>
      <c r="G13" s="3">
        <f t="shared" si="0"/>
        <v>0</v>
      </c>
    </row>
    <row r="14" spans="2:7" ht="15.75" customHeight="1" x14ac:dyDescent="0.35">
      <c r="B14" s="2" t="str">
        <f>IF(Base_de_donnee_articles!B14="","",Base_de_donnee_articles!B14)</f>
        <v>vinaigre blanc</v>
      </c>
      <c r="C14" s="2">
        <f>IF(Base_de_donnee_articles!C14="","",Base_de_donnee_articles!C14)</f>
        <v>32180</v>
      </c>
      <c r="D14" s="2">
        <f>IF(Inventaire!C14="","",Inventaire!C14/Base_de_donnee_articles!G14)</f>
        <v>0</v>
      </c>
      <c r="E14" s="2">
        <f>IF(B14="","",SUMIFS(Journal_entrees_et_sorties!D$8:D$400,Journal_entrees_et_sorties!C$8:C$400,C14))</f>
        <v>0</v>
      </c>
      <c r="F14" s="2">
        <f>IF(Inventaire!D14="","",Inventaire!D14/Base_de_donnee_articles!G14)</f>
        <v>0</v>
      </c>
      <c r="G14" s="3">
        <f t="shared" si="0"/>
        <v>0</v>
      </c>
    </row>
    <row r="15" spans="2:7" x14ac:dyDescent="0.35">
      <c r="B15" s="2" t="str">
        <f>IF(Base_de_donnee_articles!B15="","",Base_de_donnee_articles!B15)</f>
        <v xml:space="preserve">jambon cuit torchon sup </v>
      </c>
      <c r="C15" s="2">
        <f>IF(Base_de_donnee_articles!C15="","",Base_de_donnee_articles!C15)</f>
        <v>37577</v>
      </c>
      <c r="D15" s="2">
        <f>IF(Inventaire!C15="","",Inventaire!C15/Base_de_donnee_articles!G15)</f>
        <v>0</v>
      </c>
      <c r="E15" s="2">
        <f>IF(B15="","",SUMIFS(Journal_entrees_et_sorties!D$8:D$400,Journal_entrees_et_sorties!C$8:C$400,C15))</f>
        <v>0</v>
      </c>
      <c r="F15" s="2">
        <f>IF(Inventaire!D15="","",Inventaire!D15/Base_de_donnee_articles!G15)</f>
        <v>0</v>
      </c>
      <c r="G15" s="3">
        <f t="shared" si="0"/>
        <v>0</v>
      </c>
    </row>
    <row r="16" spans="2:7" x14ac:dyDescent="0.35">
      <c r="B16" s="2" t="str">
        <f>IF(Base_de_donnee_articles!B16="","",Base_de_donnee_articles!B16)</f>
        <v>saucisses fumées</v>
      </c>
      <c r="C16" s="2">
        <f>IF(Base_de_donnee_articles!C16="","",Base_de_donnee_articles!C16)</f>
        <v>37875</v>
      </c>
      <c r="D16" s="2">
        <f>IF(Inventaire!C16="","",Inventaire!C16/Base_de_donnee_articles!G16)</f>
        <v>0</v>
      </c>
      <c r="E16" s="2">
        <f>IF(B16="","",SUMIFS(Journal_entrees_et_sorties!D$8:D$400,Journal_entrees_et_sorties!C$8:C$400,C16))</f>
        <v>0</v>
      </c>
      <c r="F16" s="2">
        <f>IF(Inventaire!D16="","",Inventaire!D16/Base_de_donnee_articles!G16)</f>
        <v>0</v>
      </c>
      <c r="G16" s="3">
        <f t="shared" si="0"/>
        <v>0</v>
      </c>
    </row>
    <row r="17" spans="2:7" ht="15.75" customHeight="1" x14ac:dyDescent="0.35">
      <c r="B17" s="2" t="str">
        <f>IF(Base_de_donnee_articles!B17="","",Base_de_donnee_articles!B17)</f>
        <v>œufs brouillés</v>
      </c>
      <c r="C17" s="2">
        <f>IF(Base_de_donnee_articles!C17="","",Base_de_donnee_articles!C17)</f>
        <v>38660</v>
      </c>
      <c r="D17" s="2">
        <f>IF(Inventaire!C17="","",Inventaire!C17/Base_de_donnee_articles!G17)</f>
        <v>0</v>
      </c>
      <c r="E17" s="2">
        <f>IF(B17="","",SUMIFS(Journal_entrees_et_sorties!D$8:D$400,Journal_entrees_et_sorties!C$8:C$400,C17))</f>
        <v>0</v>
      </c>
      <c r="F17" s="2">
        <f>IF(Inventaire!D17="","",Inventaire!D17/Base_de_donnee_articles!G17)</f>
        <v>0</v>
      </c>
      <c r="G17" s="3">
        <f t="shared" si="0"/>
        <v>0</v>
      </c>
    </row>
    <row r="18" spans="2:7" ht="15.75" customHeight="1" x14ac:dyDescent="0.35">
      <c r="B18" s="2" t="str">
        <f>IF(Base_de_donnee_articles!B18="","",Base_de_donnee_articles!B18)</f>
        <v>nescafé sélection</v>
      </c>
      <c r="C18" s="2">
        <f>IF(Base_de_donnee_articles!C18="","",Base_de_donnee_articles!C18)</f>
        <v>41208</v>
      </c>
      <c r="D18" s="2">
        <f>IF(Inventaire!C18="","",Inventaire!C18/Base_de_donnee_articles!G18)</f>
        <v>0</v>
      </c>
      <c r="E18" s="2">
        <f>IF(B18="","",SUMIFS(Journal_entrees_et_sorties!D$8:D$400,Journal_entrees_et_sorties!C$8:C$400,C18))</f>
        <v>0</v>
      </c>
      <c r="F18" s="2">
        <f>IF(Inventaire!D18="","",Inventaire!D18/Base_de_donnee_articles!G18)</f>
        <v>0</v>
      </c>
      <c r="G18" s="3">
        <f t="shared" si="0"/>
        <v>0</v>
      </c>
    </row>
    <row r="19" spans="2:7" ht="15.75" customHeight="1" x14ac:dyDescent="0.35">
      <c r="B19" s="2" t="str">
        <f>IF(Base_de_donnee_articles!B19="","",Base_de_donnee_articles!B19)</f>
        <v>nescafé sélection DK</v>
      </c>
      <c r="C19" s="2">
        <f>IF(Base_de_donnee_articles!C19="","",Base_de_donnee_articles!C19)</f>
        <v>41269</v>
      </c>
      <c r="D19" s="2">
        <f>IF(Inventaire!C19="","",Inventaire!C19/Base_de_donnee_articles!G19)</f>
        <v>0</v>
      </c>
      <c r="E19" s="2">
        <f>IF(B19="","",SUMIFS(Journal_entrees_et_sorties!D$8:D$400,Journal_entrees_et_sorties!C$8:C$400,C19))</f>
        <v>0</v>
      </c>
      <c r="F19" s="2">
        <f>IF(Inventaire!D19="","",Inventaire!D19/Base_de_donnee_articles!G19)</f>
        <v>0</v>
      </c>
      <c r="G19" s="3">
        <f t="shared" si="0"/>
        <v>0</v>
      </c>
    </row>
    <row r="20" spans="2:7" x14ac:dyDescent="0.35">
      <c r="B20" s="2" t="str">
        <f>IF(Base_de_donnee_articles!B20="","",Base_de_donnee_articles!B20)</f>
        <v>eau de source 1,5l cristaline</v>
      </c>
      <c r="C20" s="2">
        <f>IF(Base_de_donnee_articles!C20="","",Base_de_donnee_articles!C20)</f>
        <v>42544</v>
      </c>
      <c r="D20" s="2">
        <f>IF(Inventaire!C20="","",Inventaire!C20/Base_de_donnee_articles!G20)</f>
        <v>0</v>
      </c>
      <c r="E20" s="2">
        <f>IF(B20="","",SUMIFS(Journal_entrees_et_sorties!D$8:D$400,Journal_entrees_et_sorties!C$8:C$400,C20))</f>
        <v>0</v>
      </c>
      <c r="F20" s="2">
        <f>IF(Inventaire!D20="","",Inventaire!D20/Base_de_donnee_articles!G20)</f>
        <v>0</v>
      </c>
      <c r="G20" s="3">
        <f t="shared" si="0"/>
        <v>0</v>
      </c>
    </row>
    <row r="21" spans="2:7" x14ac:dyDescent="0.35">
      <c r="B21" s="2" t="str">
        <f>IF(Base_de_donnee_articles!B21="","",Base_de_donnee_articles!B21)</f>
        <v>eau de source 50cl cristaline</v>
      </c>
      <c r="C21" s="2">
        <f>IF(Base_de_donnee_articles!C21="","",Base_de_donnee_articles!C21)</f>
        <v>42562</v>
      </c>
      <c r="D21" s="2">
        <f>IF(Inventaire!C21="","",Inventaire!C21/Base_de_donnee_articles!G21)</f>
        <v>0</v>
      </c>
      <c r="E21" s="2">
        <f>IF(B21="","",SUMIFS(Journal_entrees_et_sorties!D$8:D$400,Journal_entrees_et_sorties!C$8:C$400,C21))</f>
        <v>0</v>
      </c>
      <c r="F21" s="2">
        <f>IF(Inventaire!D21="","",Inventaire!D21/Base_de_donnee_articles!G21)</f>
        <v>0</v>
      </c>
      <c r="G21" s="3">
        <f t="shared" si="0"/>
        <v>0</v>
      </c>
    </row>
    <row r="22" spans="2:7" x14ac:dyDescent="0.35">
      <c r="B22" s="2" t="str">
        <f>IF(Base_de_donnee_articles!B22="","",Base_de_donnee_articles!B22)</f>
        <v>biere 25cl heineken</v>
      </c>
      <c r="C22" s="2">
        <f>IF(Base_de_donnee_articles!C22="","",Base_de_donnee_articles!C22)</f>
        <v>43640</v>
      </c>
      <c r="D22" s="2">
        <f>IF(Inventaire!C22="","",Inventaire!C22/Base_de_donnee_articles!G22)</f>
        <v>0</v>
      </c>
      <c r="E22" s="2">
        <f>IF(B22="","",SUMIFS(Journal_entrees_et_sorties!D$8:D$400,Journal_entrees_et_sorties!C$8:C$400,C22))</f>
        <v>0</v>
      </c>
      <c r="F22" s="2">
        <f>IF(Inventaire!D22="","",Inventaire!D22/Base_de_donnee_articles!G22)</f>
        <v>0</v>
      </c>
      <c r="G22" s="3">
        <f t="shared" si="0"/>
        <v>0</v>
      </c>
    </row>
    <row r="23" spans="2:7" x14ac:dyDescent="0.35">
      <c r="B23" s="2" t="str">
        <f>IF(Base_de_donnee_articles!B23="","",Base_de_donnee_articles!B23)</f>
        <v>biere cannette 33cl heineken</v>
      </c>
      <c r="C23" s="2">
        <f>IF(Base_de_donnee_articles!C23="","",Base_de_donnee_articles!C23)</f>
        <v>44614</v>
      </c>
      <c r="D23" s="2">
        <f>IF(Inventaire!C23="","",Inventaire!C23/Base_de_donnee_articles!G23)</f>
        <v>0</v>
      </c>
      <c r="E23" s="2">
        <f>IF(B23="","",SUMIFS(Journal_entrees_et_sorties!D$8:D$400,Journal_entrees_et_sorties!C$8:C$400,C23))</f>
        <v>0</v>
      </c>
      <c r="F23" s="2">
        <f>IF(Inventaire!D23="","",Inventaire!D23/Base_de_donnee_articles!G23)</f>
        <v>0</v>
      </c>
      <c r="G23" s="3">
        <f t="shared" si="0"/>
        <v>0</v>
      </c>
    </row>
    <row r="24" spans="2:7" x14ac:dyDescent="0.35">
      <c r="B24" s="2" t="str">
        <f>IF(Base_de_donnee_articles!B24="","",Base_de_donnee_articles!B24)</f>
        <v>Tropicana pur premium pomme</v>
      </c>
      <c r="C24" s="2">
        <f>IF(Base_de_donnee_articles!C24="","",Base_de_donnee_articles!C24)</f>
        <v>47013</v>
      </c>
      <c r="D24" s="2">
        <f>IF(Inventaire!C24="","",Inventaire!C24/Base_de_donnee_articles!G24)</f>
        <v>0</v>
      </c>
      <c r="E24" s="2">
        <f>IF(B24="","",SUMIFS(Journal_entrees_et_sorties!D$8:D$400,Journal_entrees_et_sorties!C$8:C$400,C24))</f>
        <v>0</v>
      </c>
      <c r="F24" s="2">
        <f>IF(Inventaire!D24="","",Inventaire!D24/Base_de_donnee_articles!G24)</f>
        <v>0</v>
      </c>
      <c r="G24" s="3">
        <f t="shared" si="0"/>
        <v>0</v>
      </c>
    </row>
    <row r="25" spans="2:7" x14ac:dyDescent="0.35">
      <c r="B25" s="2" t="str">
        <f>IF(Base_de_donnee_articles!B25="","",Base_de_donnee_articles!B25)</f>
        <v>tropicana pur premium orange</v>
      </c>
      <c r="C25" s="2">
        <f>IF(Base_de_donnee_articles!C25="","",Base_de_donnee_articles!C25)</f>
        <v>46914</v>
      </c>
      <c r="D25" s="2">
        <f>IF(Inventaire!C25="","",Inventaire!C25/Base_de_donnee_articles!G25)</f>
        <v>0</v>
      </c>
      <c r="E25" s="2">
        <f>IF(B25="","",SUMIFS(Journal_entrees_et_sorties!D$8:D$400,Journal_entrees_et_sorties!C$8:C$400,C25))</f>
        <v>0</v>
      </c>
      <c r="F25" s="2">
        <f>IF(Inventaire!D25="","",Inventaire!D25/Base_de_donnee_articles!G25)</f>
        <v>0</v>
      </c>
      <c r="G25" s="3">
        <f t="shared" si="0"/>
        <v>0</v>
      </c>
    </row>
    <row r="26" spans="2:7" x14ac:dyDescent="0.35">
      <c r="B26" s="2" t="str">
        <f>IF(Base_de_donnee_articles!B26="","",Base_de_donnee_articles!B26)</f>
        <v>canderel stick 05,g x250</v>
      </c>
      <c r="C26" s="2">
        <f>IF(Base_de_donnee_articles!C26="","",Base_de_donnee_articles!C26)</f>
        <v>53834</v>
      </c>
      <c r="D26" s="2">
        <f>IF(Inventaire!C26="","",Inventaire!C26/Base_de_donnee_articles!G26)</f>
        <v>0</v>
      </c>
      <c r="E26" s="2">
        <f>IF(B26="","",SUMIFS(Journal_entrees_et_sorties!D$8:D$400,Journal_entrees_et_sorties!C$8:C$400,C26))</f>
        <v>0</v>
      </c>
      <c r="F26" s="2">
        <f>IF(Inventaire!D26="","",Inventaire!D26/Base_de_donnee_articles!G26)</f>
        <v>0</v>
      </c>
      <c r="G26" s="3">
        <f t="shared" si="0"/>
        <v>0</v>
      </c>
    </row>
    <row r="27" spans="2:7" x14ac:dyDescent="0.35">
      <c r="B27" s="2" t="str">
        <f>IF(Base_de_donnee_articles!B27="","",Base_de_donnee_articles!B27)</f>
        <v>café filtre Baccara  x36 Miko</v>
      </c>
      <c r="C27" s="2">
        <f>IF(Base_de_donnee_articles!C27="","",Base_de_donnee_articles!C27)</f>
        <v>58077</v>
      </c>
      <c r="D27" s="2">
        <f>IF(Inventaire!C27="","",Inventaire!C27/Base_de_donnee_articles!G27)</f>
        <v>0</v>
      </c>
      <c r="E27" s="2">
        <f>IF(B27="","",SUMIFS(Journal_entrees_et_sorties!D$8:D$400,Journal_entrees_et_sorties!C$8:C$400,C27))</f>
        <v>0</v>
      </c>
      <c r="F27" s="2">
        <f>IF(Inventaire!D27="","",Inventaire!D27/Base_de_donnee_articles!G27)</f>
        <v>0</v>
      </c>
      <c r="G27" s="3">
        <f t="shared" si="0"/>
        <v>0</v>
      </c>
    </row>
    <row r="28" spans="2:7" x14ac:dyDescent="0.35">
      <c r="B28" s="2" t="str">
        <f>IF(Base_de_donnee_articles!B28="","",Base_de_donnee_articles!B28)</f>
        <v>pain sandu nature 14t x550g</v>
      </c>
      <c r="C28" s="2">
        <f>IF(Base_de_donnee_articles!C28="","",Base_de_donnee_articles!C28)</f>
        <v>63759</v>
      </c>
      <c r="D28" s="2">
        <f>IF(Inventaire!C28="","",Inventaire!C28/Base_de_donnee_articles!G28)</f>
        <v>0</v>
      </c>
      <c r="E28" s="2">
        <f>IF(B28="","",SUMIFS(Journal_entrees_et_sorties!D$8:D$400,Journal_entrees_et_sorties!C$8:C$400,C28))</f>
        <v>0</v>
      </c>
      <c r="F28" s="2">
        <f>IF(Inventaire!D28="","",Inventaire!D28/Base_de_donnee_articles!G28)</f>
        <v>0</v>
      </c>
      <c r="G28" s="3">
        <f t="shared" si="0"/>
        <v>0</v>
      </c>
    </row>
    <row r="29" spans="2:7" x14ac:dyDescent="0.35">
      <c r="B29" s="2" t="str">
        <f>IF(Base_de_donnee_articles!B29="","",Base_de_donnee_articles!B29)</f>
        <v>dattes</v>
      </c>
      <c r="C29" s="2">
        <f>IF(Base_de_donnee_articles!C29="","",Base_de_donnee_articles!C29)</f>
        <v>73011</v>
      </c>
      <c r="D29" s="2">
        <f>IF(Inventaire!C29="","",Inventaire!C29/Base_de_donnee_articles!G29)</f>
        <v>0</v>
      </c>
      <c r="E29" s="2">
        <f>IF(B29="","",SUMIFS(Journal_entrees_et_sorties!D$8:D$400,Journal_entrees_et_sorties!C$8:C$400,C29))</f>
        <v>0</v>
      </c>
      <c r="F29" s="2">
        <f>IF(Inventaire!D29="","",Inventaire!D29/Base_de_donnee_articles!G29)</f>
        <v>0</v>
      </c>
      <c r="G29" s="3">
        <f t="shared" si="0"/>
        <v>0</v>
      </c>
    </row>
    <row r="30" spans="2:7" x14ac:dyDescent="0.35">
      <c r="B30" s="2" t="str">
        <f>IF(Base_de_donnee_articles!B30="","",Base_de_donnee_articles!B30)</f>
        <v>figues moelleuses Prunille</v>
      </c>
      <c r="C30" s="2">
        <f>IF(Base_de_donnee_articles!C30="","",Base_de_donnee_articles!C30)</f>
        <v>73190</v>
      </c>
      <c r="D30" s="2">
        <f>IF(Inventaire!C30="","",Inventaire!C30/Base_de_donnee_articles!G30)</f>
        <v>0</v>
      </c>
      <c r="E30" s="2">
        <f>IF(B30="","",SUMIFS(Journal_entrees_et_sorties!D$8:D$400,Journal_entrees_et_sorties!C$8:C$400,C30))</f>
        <v>0</v>
      </c>
      <c r="F30" s="2">
        <f>IF(Inventaire!D30="","",Inventaire!D30/Base_de_donnee_articles!G30)</f>
        <v>0</v>
      </c>
      <c r="G30" s="3">
        <f t="shared" si="0"/>
        <v>0</v>
      </c>
    </row>
    <row r="31" spans="2:7" x14ac:dyDescent="0.35">
      <c r="B31" s="2" t="str">
        <f>IF(Base_de_donnee_articles!B31="","",Base_de_donnee_articles!B31)</f>
        <v>abricots moelleux prunille</v>
      </c>
      <c r="C31" s="2">
        <f>IF(Base_de_donnee_articles!C31="","",Base_de_donnee_articles!C31)</f>
        <v>73191</v>
      </c>
      <c r="D31" s="2">
        <f>IF(Inventaire!C31="","",Inventaire!C31/Base_de_donnee_articles!G31)</f>
        <v>0</v>
      </c>
      <c r="E31" s="2">
        <f>IF(B31="","",SUMIFS(Journal_entrees_et_sorties!D$8:D$400,Journal_entrees_et_sorties!C$8:C$400,C31))</f>
        <v>0</v>
      </c>
      <c r="F31" s="2">
        <f>IF(Inventaire!D31="","",Inventaire!D31/Base_de_donnee_articles!G31)</f>
        <v>0</v>
      </c>
      <c r="G31" s="3">
        <f t="shared" si="0"/>
        <v>0</v>
      </c>
    </row>
    <row r="32" spans="2:7" x14ac:dyDescent="0.35">
      <c r="B32" s="2" t="str">
        <f>IF(Base_de_donnee_articles!B32="","",Base_de_donnee_articles!B32)</f>
        <v>dentelles rect blancs 30x40</v>
      </c>
      <c r="C32" s="2">
        <f>IF(Base_de_donnee_articles!C32="","",Base_de_donnee_articles!C32)</f>
        <v>84304</v>
      </c>
      <c r="D32" s="2">
        <f>IF(Inventaire!C32="","",Inventaire!C32/Base_de_donnee_articles!G32)</f>
        <v>0</v>
      </c>
      <c r="E32" s="2">
        <f>IF(B32="","",SUMIFS(Journal_entrees_et_sorties!D$8:D$400,Journal_entrees_et_sorties!C$8:C$400,C32))</f>
        <v>0</v>
      </c>
      <c r="F32" s="2">
        <f>IF(Inventaire!D32="","",Inventaire!D32/Base_de_donnee_articles!G32)</f>
        <v>0</v>
      </c>
      <c r="G32" s="3">
        <f t="shared" si="0"/>
        <v>0</v>
      </c>
    </row>
    <row r="33" spans="2:7" x14ac:dyDescent="0.35">
      <c r="B33" s="2" t="str">
        <f>IF(Base_de_donnee_articles!B33="","",Base_de_donnee_articles!B33)</f>
        <v>comté AOP 30gx24 T</v>
      </c>
      <c r="C33" s="2">
        <f>IF(Base_de_donnee_articles!C33="","",Base_de_donnee_articles!C33)</f>
        <v>27196</v>
      </c>
      <c r="D33" s="2">
        <f>IF(Inventaire!C33="","",Inventaire!C33/Base_de_donnee_articles!G33)</f>
        <v>0</v>
      </c>
      <c r="E33" s="2">
        <f>IF(B33="","",SUMIFS(Journal_entrees_et_sorties!D$8:D$400,Journal_entrees_et_sorties!C$8:C$400,C33))</f>
        <v>0</v>
      </c>
      <c r="F33" s="2">
        <f>IF(Inventaire!D33="","",Inventaire!D33/Base_de_donnee_articles!G33)</f>
        <v>0</v>
      </c>
      <c r="G33" s="3">
        <f t="shared" si="0"/>
        <v>0</v>
      </c>
    </row>
    <row r="34" spans="2:7" x14ac:dyDescent="0.35">
      <c r="B34" s="2" t="str">
        <f>IF(Base_de_donnee_articles!B34="","",Base_de_donnee_articles!B34)</f>
        <v>cantal jeune AOP 30g x24 T</v>
      </c>
      <c r="C34" s="2">
        <f>IF(Base_de_donnee_articles!C34="","",Base_de_donnee_articles!C34)</f>
        <v>27193</v>
      </c>
      <c r="D34" s="2">
        <f>IF(Inventaire!C34="","",Inventaire!C34/Base_de_donnee_articles!G34)</f>
        <v>0</v>
      </c>
      <c r="E34" s="2">
        <f>IF(B34="","",SUMIFS(Journal_entrees_et_sorties!D$8:D$400,Journal_entrees_et_sorties!C$8:C$400,C34))</f>
        <v>0</v>
      </c>
      <c r="F34" s="2">
        <f>IF(Inventaire!D34="","",Inventaire!D34/Base_de_donnee_articles!G34)</f>
        <v>0</v>
      </c>
      <c r="G34" s="3">
        <f t="shared" si="0"/>
        <v>0</v>
      </c>
    </row>
    <row r="35" spans="2:7" x14ac:dyDescent="0.35">
      <c r="B35" s="2" t="str">
        <f>IF(Base_de_donnee_articles!B35="","",Base_de_donnee_articles!B35)</f>
        <v>lait 1/2 écrémé UHT 1l</v>
      </c>
      <c r="C35" s="2">
        <f>IF(Base_de_donnee_articles!C35="","",Base_de_donnee_articles!C35)</f>
        <v>11667</v>
      </c>
      <c r="D35" s="2">
        <f>IF(Inventaire!C35="","",Inventaire!C35/Base_de_donnee_articles!G35)</f>
        <v>0</v>
      </c>
      <c r="E35" s="2">
        <f>IF(B35="","",SUMIFS(Journal_entrees_et_sorties!D$8:D$400,Journal_entrees_et_sorties!C$8:C$400,C35))</f>
        <v>0</v>
      </c>
      <c r="F35" s="2">
        <f>IF(Inventaire!D35="","",Inventaire!D35/Base_de_donnee_articles!G35)</f>
        <v>0</v>
      </c>
      <c r="G35" s="3">
        <f t="shared" si="0"/>
        <v>0</v>
      </c>
    </row>
    <row r="36" spans="2:7" x14ac:dyDescent="0.35">
      <c r="B36" s="2" t="str">
        <f>IF(Base_de_donnee_articles!B36="","",Base_de_donnee_articles!B36)</f>
        <v>poudre choco 1 kg Van Houten</v>
      </c>
      <c r="C36" s="2">
        <f>IF(Base_de_donnee_articles!C36="","",Base_de_donnee_articles!C36)</f>
        <v>71072</v>
      </c>
      <c r="D36" s="2">
        <f>IF(Inventaire!C36="","",Inventaire!C36/Base_de_donnee_articles!G36)</f>
        <v>0</v>
      </c>
      <c r="E36" s="2">
        <f>IF(B36="","",SUMIFS(Journal_entrees_et_sorties!D$8:D$400,Journal_entrees_et_sorties!C$8:C$400,C36))</f>
        <v>0</v>
      </c>
      <c r="F36" s="2">
        <f>IF(Inventaire!D36="","",Inventaire!D36/Base_de_donnee_articles!G36)</f>
        <v>0</v>
      </c>
      <c r="G36" s="3">
        <f t="shared" si="0"/>
        <v>0</v>
      </c>
    </row>
    <row r="37" spans="2:7" x14ac:dyDescent="0.35">
      <c r="B37" s="2" t="str">
        <f>IF(Base_de_donnee_articles!B37="","",Base_de_donnee_articles!B37)</f>
        <v>thé noir caramel  Baronny's</v>
      </c>
      <c r="C37" s="2">
        <f>IF(Base_de_donnee_articles!C37="","",Base_de_donnee_articles!C37)</f>
        <v>46908</v>
      </c>
      <c r="D37" s="2">
        <f>IF(Inventaire!C37="","",Inventaire!C37/Base_de_donnee_articles!G37)</f>
        <v>0</v>
      </c>
      <c r="E37" s="2">
        <f>IF(B37="","",SUMIFS(Journal_entrees_et_sorties!D$8:D$400,Journal_entrees_et_sorties!C$8:C$400,C37))</f>
        <v>0</v>
      </c>
      <c r="F37" s="2">
        <f>IF(Inventaire!D37="","",Inventaire!D37/Base_de_donnee_articles!G37)</f>
        <v>0</v>
      </c>
      <c r="G37" s="3">
        <f t="shared" si="0"/>
        <v>0</v>
      </c>
    </row>
    <row r="38" spans="2:7" x14ac:dyDescent="0.35">
      <c r="B38" s="2" t="str">
        <f>IF(Base_de_donnee_articles!B38="","",Base_de_donnee_articles!B38)</f>
        <v>the noir Earl Grey  Baronny's</v>
      </c>
      <c r="C38" s="2">
        <f>IF(Base_de_donnee_articles!C38="","",Base_de_donnee_articles!C38)</f>
        <v>46905</v>
      </c>
      <c r="D38" s="2">
        <f>IF(Inventaire!C38="","",Inventaire!C38/Base_de_donnee_articles!G38)</f>
        <v>0</v>
      </c>
      <c r="E38" s="2">
        <f>IF(B38="","",SUMIFS(Journal_entrees_et_sorties!D$8:D$400,Journal_entrees_et_sorties!C$8:C$400,C38))</f>
        <v>0</v>
      </c>
      <c r="F38" s="2">
        <f>IF(Inventaire!D38="","",Inventaire!D38/Base_de_donnee_articles!G38)</f>
        <v>0</v>
      </c>
      <c r="G38" s="3">
        <f t="shared" si="0"/>
        <v>0</v>
      </c>
    </row>
    <row r="39" spans="2:7" x14ac:dyDescent="0.35">
      <c r="B39" s="2" t="str">
        <f>IF(Base_de_donnee_articles!B39="","",Base_de_donnee_articles!B39)</f>
        <v>Nutella 400g</v>
      </c>
      <c r="C39" s="2">
        <f>IF(Base_de_donnee_articles!C39="","",Base_de_donnee_articles!C39)</f>
        <v>71275</v>
      </c>
      <c r="D39" s="2">
        <f>IF(Inventaire!C39="","",Inventaire!C39/Base_de_donnee_articles!G39)</f>
        <v>0</v>
      </c>
      <c r="E39" s="2">
        <f>IF(B39="","",SUMIFS(Journal_entrees_et_sorties!D$8:D$400,Journal_entrees_et_sorties!C$8:C$400,C39))</f>
        <v>0</v>
      </c>
      <c r="F39" s="2">
        <f>IF(Inventaire!D39="","",Inventaire!D39/Base_de_donnee_articles!G39)</f>
        <v>0</v>
      </c>
      <c r="G39" s="3">
        <f t="shared" si="0"/>
        <v>0</v>
      </c>
    </row>
    <row r="40" spans="2:7" x14ac:dyDescent="0.35">
      <c r="B40" s="2" t="str">
        <f>IF(Base_de_donnee_articles!B40="","",Base_de_donnee_articles!B40)</f>
        <v>serv, ouate 2F 30x40x200</v>
      </c>
      <c r="C40" s="2">
        <f>IF(Base_de_donnee_articles!C40="","",Base_de_donnee_articles!C40)</f>
        <v>89585</v>
      </c>
      <c r="D40" s="2">
        <f>IF(Inventaire!C40="","",Inventaire!C40/Base_de_donnee_articles!G40)</f>
        <v>0</v>
      </c>
      <c r="E40" s="2">
        <f>IF(B40="","",SUMIFS(Journal_entrees_et_sorties!D$8:D$400,Journal_entrees_et_sorties!C$8:C$400,C40))</f>
        <v>0</v>
      </c>
      <c r="F40" s="2">
        <f>IF(Inventaire!D40="","",Inventaire!D40/Base_de_donnee_articles!G40)</f>
        <v>0</v>
      </c>
      <c r="G40" s="3">
        <f t="shared" si="0"/>
        <v>0</v>
      </c>
    </row>
    <row r="41" spans="2:7" x14ac:dyDescent="0.35">
      <c r="B41" s="2" t="str">
        <f>IF(Base_de_donnee_articles!B41="","",Base_de_donnee_articles!B41)</f>
        <v>pain mie complet 600 g</v>
      </c>
      <c r="C41" s="2">
        <f>IF(Base_de_donnee_articles!C41="","",Base_de_donnee_articles!C41)</f>
        <v>63968</v>
      </c>
      <c r="D41" s="2">
        <f>IF(Inventaire!C41="","",Inventaire!C41/Base_de_donnee_articles!G41)</f>
        <v>0</v>
      </c>
      <c r="E41" s="2">
        <f>IF(B41="","",SUMIFS(Journal_entrees_et_sorties!D$8:D$400,Journal_entrees_et_sorties!C$8:C$400,C41))</f>
        <v>0</v>
      </c>
      <c r="F41" s="2">
        <f>IF(Inventaire!D41="","",Inventaire!D41/Base_de_donnee_articles!G41)</f>
        <v>0</v>
      </c>
      <c r="G41" s="3">
        <f t="shared" si="0"/>
        <v>0</v>
      </c>
    </row>
    <row r="42" spans="2:7" x14ac:dyDescent="0.35">
      <c r="B42" s="2" t="str">
        <f>IF(Base_de_donnee_articles!B42="","",Base_de_donnee_articles!B42)</f>
        <v>jambon de dinde 40g x10t</v>
      </c>
      <c r="C42" s="2">
        <f>IF(Base_de_donnee_articles!C42="","",Base_de_donnee_articles!C42)</f>
        <v>54548</v>
      </c>
      <c r="D42" s="2">
        <f>IF(Inventaire!C42="","",Inventaire!C42/Base_de_donnee_articles!G42)</f>
        <v>0</v>
      </c>
      <c r="E42" s="2">
        <f>IF(B42="","",SUMIFS(Journal_entrees_et_sorties!D$8:D$400,Journal_entrees_et_sorties!C$8:C$400,C42))</f>
        <v>0</v>
      </c>
      <c r="F42" s="2">
        <f>IF(Inventaire!D42="","",Inventaire!D42/Base_de_donnee_articles!G42)</f>
        <v>0</v>
      </c>
      <c r="G42" s="3">
        <f t="shared" si="0"/>
        <v>0</v>
      </c>
    </row>
    <row r="43" spans="2:7" x14ac:dyDescent="0.35">
      <c r="B43" s="2" t="str">
        <f>IF(Base_de_donnee_articles!B43="","",Base_de_donnee_articles!B43)</f>
        <v>fourme d'ambert AOP 24 T</v>
      </c>
      <c r="C43" s="2">
        <f>IF(Base_de_donnee_articles!C43="","",Base_de_donnee_articles!C43)</f>
        <v>27192</v>
      </c>
      <c r="D43" s="2">
        <f>IF(Inventaire!C43="","",Inventaire!C43/Base_de_donnee_articles!G43)</f>
        <v>0</v>
      </c>
      <c r="E43" s="2">
        <f>IF(B43="","",SUMIFS(Journal_entrees_et_sorties!D$8:D$400,Journal_entrees_et_sorties!C$8:C$400,C43))</f>
        <v>0</v>
      </c>
      <c r="F43" s="2">
        <f>IF(Inventaire!D43="","",Inventaire!D43/Base_de_donnee_articles!G43)</f>
        <v>0</v>
      </c>
      <c r="G43" s="3">
        <f t="shared" si="0"/>
        <v>0</v>
      </c>
    </row>
    <row r="44" spans="2:7" x14ac:dyDescent="0.35">
      <c r="B44" s="2" t="str">
        <f>IF(Base_de_donnee_articles!B44="","",Base_de_donnee_articles!B44)</f>
        <v>pap, hyg, strong x12 écolucart</v>
      </c>
      <c r="C44" s="2">
        <f>IF(Base_de_donnee_articles!C44="","",Base_de_donnee_articles!C44)</f>
        <v>54912</v>
      </c>
      <c r="D44" s="2">
        <f>IF(Inventaire!C44="","",Inventaire!C44/Base_de_donnee_articles!G44)</f>
        <v>0</v>
      </c>
      <c r="E44" s="2">
        <f>IF(B44="","",SUMIFS(Journal_entrees_et_sorties!D$8:D$400,Journal_entrees_et_sorties!C$8:C$400,C44))</f>
        <v>0</v>
      </c>
      <c r="F44" s="2">
        <f>IF(Inventaire!D44="","",Inventaire!D44/Base_de_donnee_articles!G44)</f>
        <v>0</v>
      </c>
      <c r="G44" s="3">
        <f t="shared" si="0"/>
        <v>0</v>
      </c>
    </row>
    <row r="45" spans="2:7" x14ac:dyDescent="0.35">
      <c r="B45" s="2" t="str">
        <f>IF(Base_de_donnee_articles!B45="","",Base_de_donnee_articles!B45)</f>
        <v>film alim 300 m</v>
      </c>
      <c r="C45" s="2">
        <f>IF(Base_de_donnee_articles!C45="","",Base_de_donnee_articles!C45)</f>
        <v>88178</v>
      </c>
      <c r="D45" s="2">
        <f>IF(Inventaire!C45="","",Inventaire!C45/Base_de_donnee_articles!G45)</f>
        <v>0</v>
      </c>
      <c r="E45" s="2">
        <f>IF(B45="","",SUMIFS(Journal_entrees_et_sorties!D$8:D$400,Journal_entrees_et_sorties!C$8:C$400,C45))</f>
        <v>0</v>
      </c>
      <c r="F45" s="2">
        <f>IF(Inventaire!D45="","",Inventaire!D45/Base_de_donnee_articles!G45)</f>
        <v>0</v>
      </c>
      <c r="G45" s="3">
        <f t="shared" si="0"/>
        <v>0</v>
      </c>
    </row>
    <row r="46" spans="2:7" x14ac:dyDescent="0.35">
      <c r="B46" s="2" t="str">
        <f>IF(Base_de_donnee_articles!B46="","",Base_de_donnee_articles!B46)</f>
        <v>gobelet sachet ind x250</v>
      </c>
      <c r="C46" s="2">
        <f>IF(Base_de_donnee_articles!C46="","",Base_de_donnee_articles!C46)</f>
        <v>84604</v>
      </c>
      <c r="D46" s="2">
        <f>IF(Inventaire!C46="","",Inventaire!C46/Base_de_donnee_articles!G46)</f>
        <v>0</v>
      </c>
      <c r="E46" s="2">
        <f>IF(B46="","",SUMIFS(Journal_entrees_et_sorties!D$8:D$400,Journal_entrees_et_sorties!C$8:C$400,C46))</f>
        <v>0</v>
      </c>
      <c r="F46" s="2">
        <f>IF(Inventaire!D46="","",Inventaire!D46/Base_de_donnee_articles!G46)</f>
        <v>0</v>
      </c>
      <c r="G46" s="3">
        <f t="shared" si="0"/>
        <v>0</v>
      </c>
    </row>
    <row r="47" spans="2:7" x14ac:dyDescent="0.35">
      <c r="B47" s="2" t="str">
        <f>IF(Base_de_donnee_articles!B47="","",Base_de_donnee_articles!B47)</f>
        <v>mini bobbons fruit acid 1,4 kg</v>
      </c>
      <c r="C47" s="2">
        <f>IF(Base_de_donnee_articles!C47="","",Base_de_donnee_articles!C47)</f>
        <v>73318</v>
      </c>
      <c r="D47" s="2">
        <f>IF(Inventaire!C47="","",Inventaire!C47/Base_de_donnee_articles!G47)</f>
        <v>0</v>
      </c>
      <c r="E47" s="2">
        <f>IF(B47="","",SUMIFS(Journal_entrees_et_sorties!D$8:D$400,Journal_entrees_et_sorties!C$8:C$400,C47))</f>
        <v>0</v>
      </c>
      <c r="F47" s="2">
        <f>IF(Inventaire!D47="","",Inventaire!D47/Base_de_donnee_articles!G47)</f>
        <v>0</v>
      </c>
      <c r="G47" s="3">
        <f t="shared" si="0"/>
        <v>0</v>
      </c>
    </row>
    <row r="48" spans="2:7" x14ac:dyDescent="0.35">
      <c r="B48" s="2" t="str">
        <f>IF(Base_de_donnee_articles!B48="","",Base_de_donnee_articles!B48)</f>
        <v>quatre-quarts</v>
      </c>
      <c r="C48" s="2">
        <f>IF(Base_de_donnee_articles!C48="","",Base_de_donnee_articles!C48)</f>
        <v>112068</v>
      </c>
      <c r="D48" s="2">
        <f>IF(Inventaire!C48="","",Inventaire!C48/Base_de_donnee_articles!G48)</f>
        <v>0</v>
      </c>
      <c r="E48" s="2">
        <f>IF(B48="","",SUMIFS(Journal_entrees_et_sorties!D$8:D$400,Journal_entrees_et_sorties!C$8:C$400,C48))</f>
        <v>0</v>
      </c>
      <c r="F48" s="2">
        <f>IF(Inventaire!D48="","",Inventaire!D48/Base_de_donnee_articles!G48)</f>
        <v>0</v>
      </c>
      <c r="G48" s="3">
        <f t="shared" si="0"/>
        <v>0</v>
      </c>
    </row>
    <row r="49" spans="2:7" x14ac:dyDescent="0.35">
      <c r="B49" s="2" t="str">
        <f>IF(Base_de_donnee_articles!B49="","",Base_de_donnee_articles!B49)</f>
        <v>coca cola 20cl x8</v>
      </c>
      <c r="C49" s="2">
        <f>IF(Base_de_donnee_articles!C49="","",Base_de_donnee_articles!C49)</f>
        <v>115514</v>
      </c>
      <c r="D49" s="2">
        <f>IF(Inventaire!C49="","",Inventaire!C49/Base_de_donnee_articles!G49)</f>
        <v>0</v>
      </c>
      <c r="E49" s="2">
        <f>IF(B49="","",SUMIFS(Journal_entrees_et_sorties!D$8:D$400,Journal_entrees_et_sorties!C$8:C$400,C49))</f>
        <v>0</v>
      </c>
      <c r="F49" s="2">
        <f>IF(Inventaire!D49="","",Inventaire!D49/Base_de_donnee_articles!G49)</f>
        <v>0</v>
      </c>
      <c r="G49" s="3">
        <f t="shared" si="0"/>
        <v>0</v>
      </c>
    </row>
    <row r="50" spans="2:7" x14ac:dyDescent="0.35">
      <c r="B50" s="2" t="str">
        <f>IF(Base_de_donnee_articles!B50="","",Base_de_donnee_articles!B50)</f>
        <v>coca cola 33 cl canette</v>
      </c>
      <c r="C50" s="2">
        <f>IF(Base_de_donnee_articles!C50="","",Base_de_donnee_articles!C50)</f>
        <v>42748</v>
      </c>
      <c r="D50" s="2">
        <f>IF(Inventaire!C50="","",Inventaire!C50/Base_de_donnee_articles!G50)</f>
        <v>0</v>
      </c>
      <c r="E50" s="2">
        <f>IF(B50="","",SUMIFS(Journal_entrees_et_sorties!D$8:D$400,Journal_entrees_et_sorties!C$8:C$400,C50))</f>
        <v>0</v>
      </c>
      <c r="F50" s="2">
        <f>IF(Inventaire!D50="","",Inventaire!D50/Base_de_donnee_articles!G50)</f>
        <v>0</v>
      </c>
      <c r="G50" s="3">
        <f t="shared" si="0"/>
        <v>0</v>
      </c>
    </row>
    <row r="51" spans="2:7" x14ac:dyDescent="0.35">
      <c r="B51" s="2" t="str">
        <f>IF(Base_de_donnee_articles!B51="","",Base_de_donnee_articles!B51)</f>
        <v>evian 50cl x6</v>
      </c>
      <c r="C51" s="2">
        <f>IF(Base_de_donnee_articles!C51="","",Base_de_donnee_articles!C51)</f>
        <v>43734</v>
      </c>
      <c r="D51" s="2">
        <f>IF(Inventaire!C51="","",Inventaire!C51/Base_de_donnee_articles!G51)</f>
        <v>0</v>
      </c>
      <c r="E51" s="2">
        <f>IF(B51="","",SUMIFS(Journal_entrees_et_sorties!D$8:D$400,Journal_entrees_et_sorties!C$8:C$400,C51))</f>
        <v>0</v>
      </c>
      <c r="F51" s="2">
        <f>IF(Inventaire!D51="","",Inventaire!D51/Base_de_donnee_articles!G51)</f>
        <v>0</v>
      </c>
      <c r="G51" s="3">
        <f t="shared" si="0"/>
        <v>0</v>
      </c>
    </row>
    <row r="52" spans="2:7" x14ac:dyDescent="0.35">
      <c r="B52" s="2" t="str">
        <f>IF(Base_de_donnee_articles!B52="","",Base_de_donnee_articles!B52)</f>
        <v>gants jetables latex x100</v>
      </c>
      <c r="C52" s="2">
        <f>IF(Base_de_donnee_articles!C52="","",Base_de_donnee_articles!C52)</f>
        <v>90793</v>
      </c>
      <c r="D52" s="2">
        <f>IF(Inventaire!C52="","",Inventaire!C52/Base_de_donnee_articles!G52)</f>
        <v>0</v>
      </c>
      <c r="E52" s="2">
        <f>IF(B52="","",SUMIFS(Journal_entrees_et_sorties!D$8:D$400,Journal_entrees_et_sorties!C$8:C$400,C52))</f>
        <v>0</v>
      </c>
      <c r="F52" s="2">
        <f>IF(Inventaire!D52="","",Inventaire!D52/Base_de_donnee_articles!G52)</f>
        <v>0</v>
      </c>
      <c r="G52" s="3">
        <f t="shared" si="0"/>
        <v>0</v>
      </c>
    </row>
    <row r="53" spans="2:7" x14ac:dyDescent="0.35">
      <c r="B53" s="2" t="str">
        <f>IF(Base_de_donnee_articles!B53="","",Base_de_donnee_articles!B53)</f>
        <v>yaourts panier fruits yoplait x4</v>
      </c>
      <c r="C53" s="2">
        <f>IF(Base_de_donnee_articles!C53="","",Base_de_donnee_articles!C53)</f>
        <v>38100</v>
      </c>
      <c r="D53" s="2">
        <f>IF(Inventaire!C53="","",Inventaire!C53/Base_de_donnee_articles!G53)</f>
        <v>0</v>
      </c>
      <c r="E53" s="2">
        <f>IF(B53="","",SUMIFS(Journal_entrees_et_sorties!D$8:D$400,Journal_entrees_et_sorties!C$8:C$400,C53))</f>
        <v>0</v>
      </c>
      <c r="F53" s="2">
        <f>IF(Inventaire!D53="","",Inventaire!D53/Base_de_donnee_articles!G53)</f>
        <v>0</v>
      </c>
      <c r="G53" s="3">
        <f t="shared" si="0"/>
        <v>0</v>
      </c>
    </row>
    <row r="54" spans="2:7" x14ac:dyDescent="0.35">
      <c r="B54" s="2" t="str">
        <f>IF(Base_de_donnee_articles!B54="","",Base_de_donnee_articles!B54)</f>
        <v>cristaline 50 cl x 24 TG</v>
      </c>
      <c r="C54" s="2">
        <f>IF(Base_de_donnee_articles!C54="","",Base_de_donnee_articles!C54)</f>
        <v>410605</v>
      </c>
      <c r="D54" s="2">
        <f>IF(Inventaire!C54="","",Inventaire!C54/Base_de_donnee_articles!G54)</f>
        <v>0</v>
      </c>
      <c r="E54" s="2">
        <f>IF(B54="","",SUMIFS(Journal_entrees_et_sorties!D$8:D$400,Journal_entrees_et_sorties!C$8:C$400,C54))</f>
        <v>0</v>
      </c>
      <c r="F54" s="2">
        <f>IF(Inventaire!D54="","",Inventaire!D54/Base_de_donnee_articles!G54)</f>
        <v>0</v>
      </c>
      <c r="G54" s="3">
        <f t="shared" si="0"/>
        <v>0</v>
      </c>
    </row>
    <row r="55" spans="2:7" x14ac:dyDescent="0.35">
      <c r="B55" s="2" t="str">
        <f>IF(Base_de_donnee_articles!B55="","",Base_de_donnee_articles!B55)</f>
        <v>raisin sec sultanine standard 1kg</v>
      </c>
      <c r="C55" s="2">
        <f>IF(Base_de_donnee_articles!C55="","",Base_de_donnee_articles!C55)</f>
        <v>300877</v>
      </c>
      <c r="D55" s="2">
        <f>IF(Inventaire!C55="","",Inventaire!C55/Base_de_donnee_articles!G55)</f>
        <v>0</v>
      </c>
      <c r="E55" s="2">
        <f>IF(B55="","",SUMIFS(Journal_entrees_et_sorties!D$8:D$400,Journal_entrees_et_sorties!C$8:C$400,C55))</f>
        <v>0</v>
      </c>
      <c r="F55" s="2">
        <f>IF(Inventaire!D55="","",Inventaire!D55/Base_de_donnee_articles!G55)</f>
        <v>0</v>
      </c>
      <c r="G55" s="3">
        <f t="shared" si="0"/>
        <v>0</v>
      </c>
    </row>
    <row r="56" spans="2:7" x14ac:dyDescent="0.35">
      <c r="B56" s="2" t="str">
        <f>IF(Base_de_donnee_articles!B56="","",Base_de_donnee_articles!B56)</f>
        <v>œuf brouillé nature 500g*8 TG</v>
      </c>
      <c r="C56" s="2">
        <f>IF(Base_de_donnee_articles!C56="","",Base_de_donnee_articles!C56)</f>
        <v>255588</v>
      </c>
      <c r="D56" s="2">
        <f>IF(Inventaire!C56="","",Inventaire!C56/Base_de_donnee_articles!G56)</f>
        <v>0</v>
      </c>
      <c r="E56" s="2">
        <f>IF(B56="","",SUMIFS(Journal_entrees_et_sorties!D$8:D$400,Journal_entrees_et_sorties!C$8:C$400,C56))</f>
        <v>0</v>
      </c>
      <c r="F56" s="2">
        <f>IF(Inventaire!D56="","",Inventaire!D56/Base_de_donnee_articles!G56)</f>
        <v>0</v>
      </c>
      <c r="G56" s="3">
        <f t="shared" si="0"/>
        <v>0</v>
      </c>
    </row>
    <row r="57" spans="2:7" x14ac:dyDescent="0.35">
      <c r="B57" s="2" t="str">
        <f>IF(Base_de_donnee_articles!B57="","",Base_de_donnee_articles!B57)</f>
        <v>activia nature 0% 125g x8 TG</v>
      </c>
      <c r="C57" s="2">
        <f>IF(Base_de_donnee_articles!C57="","",Base_de_donnee_articles!C57)</f>
        <v>249604</v>
      </c>
      <c r="D57" s="2">
        <f>IF(Inventaire!C57="","",Inventaire!C57/Base_de_donnee_articles!G57)</f>
        <v>0</v>
      </c>
      <c r="E57" s="2">
        <f>IF(B57="","",SUMIFS(Journal_entrees_et_sorties!D$8:D$400,Journal_entrees_et_sorties!C$8:C$400,C57))</f>
        <v>0</v>
      </c>
      <c r="F57" s="2">
        <f>IF(Inventaire!D57="","",Inventaire!D57/Base_de_donnee_articles!G57)</f>
        <v>0</v>
      </c>
      <c r="G57" s="3">
        <f t="shared" si="0"/>
        <v>0</v>
      </c>
    </row>
    <row r="58" spans="2:7" x14ac:dyDescent="0.35">
      <c r="B58" s="2" t="str">
        <f>IF(Base_de_donnee_articles!B58="","",Base_de_donnee_articles!B58)</f>
        <v>mini pain raisin 30g x 160</v>
      </c>
      <c r="C58" s="2">
        <f>IF(Base_de_donnee_articles!C58="","",Base_de_donnee_articles!C58)</f>
        <v>300737</v>
      </c>
      <c r="D58" s="2">
        <f>IF(Inventaire!C58="","",Inventaire!C58/Base_de_donnee_articles!G58)</f>
        <v>0</v>
      </c>
      <c r="E58" s="2">
        <f>IF(B58="","",SUMIFS(Journal_entrees_et_sorties!D$8:D$400,Journal_entrees_et_sorties!C$8:C$400,C58))</f>
        <v>0</v>
      </c>
      <c r="F58" s="2">
        <f>IF(Inventaire!D58="","",Inventaire!D58/Base_de_donnee_articles!G58)</f>
        <v>0</v>
      </c>
      <c r="G58" s="3">
        <f t="shared" si="0"/>
        <v>0</v>
      </c>
    </row>
    <row r="59" spans="2:7" x14ac:dyDescent="0.35">
      <c r="B59" s="2" t="str">
        <f>IF(Base_de_donnee_articles!B59="","",Base_de_donnee_articles!B59)</f>
        <v>mini pain choco 35g x 210</v>
      </c>
      <c r="C59" s="2">
        <f>IF(Base_de_donnee_articles!C59="","",Base_de_donnee_articles!C59)</f>
        <v>644484</v>
      </c>
      <c r="D59" s="2">
        <f>IF(Inventaire!C59="","",Inventaire!C59/Base_de_donnee_articles!G59)</f>
        <v>0</v>
      </c>
      <c r="E59" s="2">
        <f>IF(B59="","",SUMIFS(Journal_entrees_et_sorties!D$8:D$400,Journal_entrees_et_sorties!C$8:C$400,C59))</f>
        <v>0</v>
      </c>
      <c r="F59" s="2">
        <f>IF(Inventaire!D59="","",Inventaire!D59/Base_de_donnee_articles!G59)</f>
        <v>0</v>
      </c>
      <c r="G59" s="3">
        <f t="shared" si="0"/>
        <v>0</v>
      </c>
    </row>
    <row r="60" spans="2:7" x14ac:dyDescent="0.35">
      <c r="B60" s="2" t="str">
        <f>IF(Base_de_donnee_articles!B60="","",Base_de_donnee_articles!B60)</f>
        <v>mini croissant beurre 30g x 195</v>
      </c>
      <c r="C60" s="2">
        <f>IF(Base_de_donnee_articles!C60="","",Base_de_donnee_articles!C60)</f>
        <v>644492</v>
      </c>
      <c r="D60" s="2">
        <f>IF(Inventaire!C60="","",Inventaire!C60/Base_de_donnee_articles!G60)</f>
        <v>0</v>
      </c>
      <c r="E60" s="2">
        <f>IF(B60="","",SUMIFS(Journal_entrees_et_sorties!D$8:D$400,Journal_entrees_et_sorties!C$8:C$400,C60))</f>
        <v>0</v>
      </c>
      <c r="F60" s="2">
        <f>IF(Inventaire!D60="","",Inventaire!D60/Base_de_donnee_articles!G60)</f>
        <v>0</v>
      </c>
      <c r="G60" s="3">
        <f t="shared" si="0"/>
        <v>0</v>
      </c>
    </row>
    <row r="61" spans="2:7" x14ac:dyDescent="0.35">
      <c r="B61" s="2" t="str">
        <f>IF(Base_de_donnee_articles!B61="","",Base_de_donnee_articles!B61)</f>
        <v xml:space="preserve">mini torsade cranberrie 30gx100 </v>
      </c>
      <c r="C61" s="2">
        <f>IF(Base_de_donnee_articles!C61="","",Base_de_donnee_articles!C61)</f>
        <v>804450</v>
      </c>
      <c r="D61" s="2">
        <f>IF(Inventaire!C61="","",Inventaire!C61/Base_de_donnee_articles!G61)</f>
        <v>0</v>
      </c>
      <c r="E61" s="2">
        <f>IF(B61="","",SUMIFS(Journal_entrees_et_sorties!D$8:D$400,Journal_entrees_et_sorties!C$8:C$400,C61))</f>
        <v>0</v>
      </c>
      <c r="F61" s="2">
        <f>IF(Inventaire!D61="","",Inventaire!D61/Base_de_donnee_articles!G61)</f>
        <v>0</v>
      </c>
      <c r="G61" s="3">
        <f t="shared" si="0"/>
        <v>0</v>
      </c>
    </row>
    <row r="62" spans="2:7" x14ac:dyDescent="0.35">
      <c r="B62" s="2" t="str">
        <f>IF(Base_de_donnee_articles!B62="","",Base_de_donnee_articles!B62)</f>
        <v>jambon dd torchon *10 x 50g</v>
      </c>
      <c r="C62" s="2">
        <f>IF(Base_de_donnee_articles!C62="","",Base_de_donnee_articles!C62)</f>
        <v>34280</v>
      </c>
      <c r="D62" s="2">
        <f>IF(Inventaire!C62="","",Inventaire!C62/Base_de_donnee_articles!G62)</f>
        <v>0</v>
      </c>
      <c r="E62" s="2">
        <f>IF(B62="","",SUMIFS(Journal_entrees_et_sorties!D$8:D$400,Journal_entrees_et_sorties!C$8:C$400,C62))</f>
        <v>0</v>
      </c>
      <c r="F62" s="2">
        <f>IF(Inventaire!D62="","",Inventaire!D62/Base_de_donnee_articles!G62)</f>
        <v>0</v>
      </c>
      <c r="G62" s="3">
        <f t="shared" si="0"/>
        <v>0</v>
      </c>
    </row>
    <row r="63" spans="2:7" x14ac:dyDescent="0.35">
      <c r="B63" s="2" t="str">
        <f>IF(Base_de_donnee_articles!B63="","",Base_de_donnee_articles!B63)</f>
        <v>blanc poulet *10 x 40g</v>
      </c>
      <c r="C63" s="2">
        <f>IF(Base_de_donnee_articles!C63="","",Base_de_donnee_articles!C63)</f>
        <v>240572</v>
      </c>
      <c r="D63" s="2">
        <f>IF(Inventaire!C63="","",Inventaire!C63/Base_de_donnee_articles!G63)</f>
        <v>0</v>
      </c>
      <c r="E63" s="2">
        <f>IF(B63="","",SUMIFS(Journal_entrees_et_sorties!D$8:D$400,Journal_entrees_et_sorties!C$8:C$400,C63))</f>
        <v>0</v>
      </c>
      <c r="F63" s="2">
        <f>IF(Inventaire!D63="","",Inventaire!D63/Base_de_donnee_articles!G63)</f>
        <v>0</v>
      </c>
      <c r="G63" s="3">
        <f t="shared" si="0"/>
        <v>0</v>
      </c>
    </row>
    <row r="64" spans="2:7" x14ac:dyDescent="0.35">
      <c r="B64" s="2" t="str">
        <f>IF(Base_de_donnee_articles!B64="","",Base_de_donnee_articles!B64)</f>
        <v>destructeur d'odeurs 750ml x 6</v>
      </c>
      <c r="C64" s="2">
        <f>IF(Base_de_donnee_articles!C64="","",Base_de_donnee_articles!C64)</f>
        <v>2727</v>
      </c>
      <c r="D64" s="2">
        <f>IF(Inventaire!C64="","",Inventaire!C64/Base_de_donnee_articles!G64)</f>
        <v>0</v>
      </c>
      <c r="E64" s="2">
        <f>IF(B64="","",SUMIFS(Journal_entrees_et_sorties!D$8:D$400,Journal_entrees_et_sorties!C$8:C$400,C64))</f>
        <v>0</v>
      </c>
      <c r="F64" s="2">
        <f>IF(Inventaire!D64="","",Inventaire!D64/Base_de_donnee_articles!G64)</f>
        <v>0</v>
      </c>
      <c r="G64" s="3">
        <f t="shared" si="0"/>
        <v>0</v>
      </c>
    </row>
    <row r="65" spans="2:7" x14ac:dyDescent="0.35">
      <c r="B65" s="2" t="str">
        <f>IF(Base_de_donnee_articles!B65="","",Base_de_donnee_articles!B65)</f>
        <v>green care pre-détachant 750 ml</v>
      </c>
      <c r="C65" s="2" t="str">
        <f>IF(Base_de_donnee_articles!C65="","",Base_de_donnee_articles!C65)</f>
        <v>137/2</v>
      </c>
      <c r="D65" s="2">
        <f>IF(Inventaire!C65="","",Inventaire!C65/Base_de_donnee_articles!G65)</f>
        <v>0</v>
      </c>
      <c r="E65" s="2">
        <f>IF(B65="","",SUMIFS(Journal_entrees_et_sorties!D$8:D$400,Journal_entrees_et_sorties!C$8:C$400,C65))</f>
        <v>0</v>
      </c>
      <c r="F65" s="2">
        <f>IF(Inventaire!D65="","",Inventaire!D65/Base_de_donnee_articles!G65)</f>
        <v>0</v>
      </c>
      <c r="G65" s="3">
        <f t="shared" si="0"/>
        <v>0</v>
      </c>
    </row>
    <row r="66" spans="2:7" x14ac:dyDescent="0.35">
      <c r="B66" s="2" t="str">
        <f>IF(Base_de_donnee_articles!B66="","",Base_de_donnee_articles!B66)</f>
        <v>mouchoir 21 boites de 100</v>
      </c>
      <c r="C66" s="2" t="str">
        <f>IF(Base_de_donnee_articles!C66="","",Base_de_donnee_articles!C66)</f>
        <v>5739/1</v>
      </c>
      <c r="D66" s="2">
        <f>IF(Inventaire!C66="","",Inventaire!C66/Base_de_donnee_articles!G66)</f>
        <v>0</v>
      </c>
      <c r="E66" s="2">
        <f>IF(B66="","",SUMIFS(Journal_entrees_et_sorties!D$8:D$400,Journal_entrees_et_sorties!C$8:C$400,C66))</f>
        <v>0</v>
      </c>
      <c r="F66" s="2">
        <f>IF(Inventaire!D66="","",Inventaire!D66/Base_de_donnee_articles!G66)</f>
        <v>0</v>
      </c>
      <c r="G66" s="3">
        <f t="shared" si="0"/>
        <v>0</v>
      </c>
    </row>
    <row r="67" spans="2:7" x14ac:dyDescent="0.35">
      <c r="B67" s="2" t="str">
        <f>IF(Base_de_donnee_articles!B67="","",Base_de_donnee_articles!B67)</f>
        <v>gant mapa jersetlite parme</v>
      </c>
      <c r="C67" s="2" t="str">
        <f>IF(Base_de_donnee_articles!C67="","",Base_de_donnee_articles!C67)</f>
        <v>2043S</v>
      </c>
      <c r="D67" s="2">
        <f>IF(Inventaire!C67="","",Inventaire!C67/Base_de_donnee_articles!G67)</f>
        <v>0</v>
      </c>
      <c r="E67" s="2">
        <f>IF(B67="","",SUMIFS(Journal_entrees_et_sorties!D$8:D$400,Journal_entrees_et_sorties!C$8:C$400,C67))</f>
        <v>0</v>
      </c>
      <c r="F67" s="2">
        <f>IF(Inventaire!D67="","",Inventaire!D67/Base_de_donnee_articles!G67)</f>
        <v>0</v>
      </c>
      <c r="G67" s="3">
        <f t="shared" si="0"/>
        <v>0</v>
      </c>
    </row>
    <row r="68" spans="2:7" x14ac:dyDescent="0.35">
      <c r="B68" s="2" t="str">
        <f>IF(Base_de_donnee_articles!B68="","",Base_de_donnee_articles!B68)</f>
        <v>papier toilette 500cp x 56 rlx</v>
      </c>
      <c r="C68" s="2" t="str">
        <f>IF(Base_de_donnee_articles!C68="","",Base_de_donnee_articles!C68)</f>
        <v>532/1</v>
      </c>
      <c r="D68" s="2">
        <f>IF(Inventaire!C68="","",Inventaire!C68/Base_de_donnee_articles!G68)</f>
        <v>0</v>
      </c>
      <c r="E68" s="2">
        <f>IF(B68="","",SUMIFS(Journal_entrees_et_sorties!D$8:D$400,Journal_entrees_et_sorties!C$8:C$400,C68))</f>
        <v>0</v>
      </c>
      <c r="F68" s="2">
        <f>IF(Inventaire!D68="","",Inventaire!D68/Base_de_donnee_articles!G68)</f>
        <v>0</v>
      </c>
      <c r="G68" s="3">
        <f t="shared" si="0"/>
        <v>0</v>
      </c>
    </row>
    <row r="69" spans="2:7" x14ac:dyDescent="0.35">
      <c r="B69" s="2" t="str">
        <f>IF(Base_de_donnee_articles!B69="","",Base_de_donnee_articles!B69)</f>
        <v>vinaigre blanc 1l BARTHOLUS</v>
      </c>
      <c r="C69" s="2">
        <f>IF(Base_de_donnee_articles!C69="","",Base_de_donnee_articles!C69)</f>
        <v>2758</v>
      </c>
      <c r="D69" s="2">
        <f>IF(Inventaire!C69="","",Inventaire!C69/Base_de_donnee_articles!G69)</f>
        <v>0</v>
      </c>
      <c r="E69" s="2">
        <f>IF(B69="","",SUMIFS(Journal_entrees_et_sorties!D$8:D$400,Journal_entrees_et_sorties!C$8:C$400,C69))</f>
        <v>0</v>
      </c>
      <c r="F69" s="2">
        <f>IF(Inventaire!D69="","",Inventaire!D69/Base_de_donnee_articles!G69)</f>
        <v>0</v>
      </c>
      <c r="G69" s="3">
        <f t="shared" si="0"/>
        <v>0</v>
      </c>
    </row>
    <row r="70" spans="2:7" x14ac:dyDescent="0.35">
      <c r="B70" s="2" t="str">
        <f>IF(Base_de_donnee_articles!B70="","",Base_de_donnee_articles!B70)</f>
        <v>désodorisant toilettes 750ml x6</v>
      </c>
      <c r="C70" s="2">
        <f>IF(Base_de_donnee_articles!C70="","",Base_de_donnee_articles!C70)</f>
        <v>434</v>
      </c>
      <c r="D70" s="2">
        <f>IF(Inventaire!C70="","",Inventaire!C70/Base_de_donnee_articles!G70)</f>
        <v>0</v>
      </c>
      <c r="E70" s="2">
        <f>IF(B70="","",SUMIFS(Journal_entrees_et_sorties!D$8:D$400,Journal_entrees_et_sorties!C$8:C$400,C70))</f>
        <v>0</v>
      </c>
      <c r="F70" s="2">
        <f>IF(Inventaire!D70="","",Inventaire!D70/Base_de_donnee_articles!G70)</f>
        <v>0</v>
      </c>
      <c r="G70" s="3">
        <f t="shared" si="0"/>
        <v>0</v>
      </c>
    </row>
    <row r="71" spans="2:7" x14ac:dyDescent="0.35">
      <c r="B71" s="2" t="str">
        <f>IF(Base_de_donnee_articles!B71="","",Base_de_donnee_articles!B71)</f>
        <v>green-line rincage 5l</v>
      </c>
      <c r="C71" s="2">
        <f>IF(Base_de_donnee_articles!C71="","",Base_de_donnee_articles!C71)</f>
        <v>81060</v>
      </c>
      <c r="D71" s="2">
        <f>IF(Inventaire!C71="","",Inventaire!C71/Base_de_donnee_articles!G71)</f>
        <v>0</v>
      </c>
      <c r="E71" s="2">
        <f>IF(B71="","",SUMIFS(Journal_entrees_et_sorties!D$8:D$400,Journal_entrees_et_sorties!C$8:C$400,C71))</f>
        <v>0</v>
      </c>
      <c r="F71" s="2">
        <f>IF(Inventaire!D71="","",Inventaire!D71/Base_de_donnee_articles!G71)</f>
        <v>0</v>
      </c>
      <c r="G71" s="3">
        <f t="shared" si="0"/>
        <v>0</v>
      </c>
    </row>
    <row r="72" spans="2:7" x14ac:dyDescent="0.35">
      <c r="B72" s="2" t="str">
        <f>IF(Base_de_donnee_articles!B72="","",Base_de_donnee_articles!B72)</f>
        <v>Nov détartrant Gel Wc 1l x 12</v>
      </c>
      <c r="C72" s="2">
        <f>IF(Base_de_donnee_articles!C72="","",Base_de_donnee_articles!C72)</f>
        <v>5048</v>
      </c>
      <c r="D72" s="2">
        <f>IF(Inventaire!C72="","",Inventaire!C72/Base_de_donnee_articles!G72)</f>
        <v>0</v>
      </c>
      <c r="E72" s="2">
        <f>IF(B72="","",SUMIFS(Journal_entrees_et_sorties!D$8:D$400,Journal_entrees_et_sorties!C$8:C$400,C72))</f>
        <v>0</v>
      </c>
      <c r="F72" s="2">
        <f>IF(Inventaire!D72="","",Inventaire!D72/Base_de_donnee_articles!G72)</f>
        <v>0</v>
      </c>
      <c r="G72" s="3">
        <f t="shared" si="0"/>
        <v>0</v>
      </c>
    </row>
    <row r="73" spans="2:7" x14ac:dyDescent="0.35">
      <c r="B73" s="2" t="str">
        <f>IF(Base_de_donnee_articles!B73="","",Base_de_donnee_articles!B73)</f>
        <v>eponge gommante x 3</v>
      </c>
      <c r="C73" s="2">
        <f>IF(Base_de_donnee_articles!C73="","",Base_de_donnee_articles!C73)</f>
        <v>506603</v>
      </c>
      <c r="D73" s="2">
        <f>IF(Inventaire!C73="","",Inventaire!C73/Base_de_donnee_articles!G73)</f>
        <v>0</v>
      </c>
      <c r="E73" s="2">
        <f>IF(B73="","",SUMIFS(Journal_entrees_et_sorties!D$8:D$400,Journal_entrees_et_sorties!C$8:C$400,C73))</f>
        <v>0</v>
      </c>
      <c r="F73" s="2">
        <f>IF(Inventaire!D73="","",Inventaire!D73/Base_de_donnee_articles!G73)</f>
        <v>0</v>
      </c>
      <c r="G73" s="3">
        <f t="shared" ref="G73:G136" si="1">IF(C73="","",D73+E73-F73)</f>
        <v>0</v>
      </c>
    </row>
    <row r="74" spans="2:7" x14ac:dyDescent="0.35">
      <c r="B74" s="2" t="str">
        <f>IF(Base_de_donnee_articles!B74="","",Base_de_donnee_articles!B74)</f>
        <v>lavettes microfibre x 10</v>
      </c>
      <c r="C74" s="2" t="str">
        <f>IF(Base_de_donnee_articles!C74="","",Base_de_donnee_articles!C74)</f>
        <v>2100B</v>
      </c>
      <c r="D74" s="2">
        <f>IF(Inventaire!C74="","",Inventaire!C74/Base_de_donnee_articles!G74)</f>
        <v>0</v>
      </c>
      <c r="E74" s="2">
        <f>IF(B74="","",SUMIFS(Journal_entrees_et_sorties!D$8:D$400,Journal_entrees_et_sorties!C$8:C$400,C74))</f>
        <v>0</v>
      </c>
      <c r="F74" s="2">
        <f>IF(Inventaire!D74="","",Inventaire!D74/Base_de_donnee_articles!G74)</f>
        <v>0</v>
      </c>
      <c r="G74" s="3">
        <f t="shared" si="1"/>
        <v>0</v>
      </c>
    </row>
    <row r="75" spans="2:7" x14ac:dyDescent="0.35">
      <c r="B75" s="2" t="str">
        <f>IF(Base_de_donnee_articles!B75="","",Base_de_donnee_articles!B75)</f>
        <v>comprimés chlorés x 150</v>
      </c>
      <c r="C75" s="2">
        <f>IF(Base_de_donnee_articles!C75="","",Base_de_donnee_articles!C75)</f>
        <v>2005</v>
      </c>
      <c r="D75" s="2">
        <f>IF(Inventaire!C75="","",Inventaire!C75/Base_de_donnee_articles!G75)</f>
        <v>0</v>
      </c>
      <c r="E75" s="2">
        <f>IF(B75="","",SUMIFS(Journal_entrees_et_sorties!D$8:D$400,Journal_entrees_et_sorties!C$8:C$400,C75))</f>
        <v>0</v>
      </c>
      <c r="F75" s="2">
        <f>IF(Inventaire!D75="","",Inventaire!D75/Base_de_donnee_articles!G75)</f>
        <v>0</v>
      </c>
      <c r="G75" s="3">
        <f t="shared" si="1"/>
        <v>0</v>
      </c>
    </row>
    <row r="76" spans="2:7" x14ac:dyDescent="0.35">
      <c r="B76" s="2" t="str">
        <f>IF(Base_de_donnee_articles!B76="","",Base_de_donnee_articles!B76)</f>
        <v>Activ intense 20kg</v>
      </c>
      <c r="C76" s="2">
        <f>IF(Base_de_donnee_articles!C76="","",Base_de_donnee_articles!C76)</f>
        <v>103</v>
      </c>
      <c r="D76" s="2">
        <f>IF(Inventaire!C76="","",Inventaire!C76/Base_de_donnee_articles!G76)</f>
        <v>0</v>
      </c>
      <c r="E76" s="2">
        <f>IF(B76="","",SUMIFS(Journal_entrees_et_sorties!D$8:D$400,Journal_entrees_et_sorties!C$8:C$400,C76))</f>
        <v>0</v>
      </c>
      <c r="F76" s="2">
        <f>IF(Inventaire!D76="","",Inventaire!D76/Base_de_donnee_articles!G76)</f>
        <v>0</v>
      </c>
      <c r="G76" s="3">
        <f t="shared" si="1"/>
        <v>0</v>
      </c>
    </row>
    <row r="77" spans="2:7" x14ac:dyDescent="0.35">
      <c r="B77" s="2" t="str">
        <f>IF(Base_de_donnee_articles!B77="","",Base_de_donnee_articles!B77)</f>
        <v>sel adoucisseur en pastille 25kg</v>
      </c>
      <c r="C77" s="2">
        <f>IF(Base_de_donnee_articles!C77="","",Base_de_donnee_articles!C77)</f>
        <v>2763</v>
      </c>
      <c r="D77" s="2">
        <f>IF(Inventaire!C77="","",Inventaire!C77/Base_de_donnee_articles!G77)</f>
        <v>0</v>
      </c>
      <c r="E77" s="2">
        <f>IF(B77="","",SUMIFS(Journal_entrees_et_sorties!D$8:D$400,Journal_entrees_et_sorties!C$8:C$400,C77))</f>
        <v>0</v>
      </c>
      <c r="F77" s="2">
        <f>IF(Inventaire!D77="","",Inventaire!D77/Base_de_donnee_articles!G77)</f>
        <v>0</v>
      </c>
      <c r="G77" s="3">
        <f t="shared" si="1"/>
        <v>0</v>
      </c>
    </row>
    <row r="78" spans="2:7" x14ac:dyDescent="0.35">
      <c r="B78" s="2" t="str">
        <f>IF(Base_de_donnee_articles!B78="","",Base_de_donnee_articles!B78)</f>
        <v>tampon éponge rose x 10</v>
      </c>
      <c r="C78" s="2">
        <f>IF(Base_de_donnee_articles!C78="","",Base_de_donnee_articles!C78)</f>
        <v>2125</v>
      </c>
      <c r="D78" s="2">
        <f>IF(Inventaire!C78="","",Inventaire!C78/Base_de_donnee_articles!G78)</f>
        <v>0</v>
      </c>
      <c r="E78" s="2">
        <f>IF(B78="","",SUMIFS(Journal_entrees_et_sorties!D$8:D$400,Journal_entrees_et_sorties!C$8:C$400,C78))</f>
        <v>0</v>
      </c>
      <c r="F78" s="2">
        <f>IF(Inventaire!D78="","",Inventaire!D78/Base_de_donnee_articles!G78)</f>
        <v>0</v>
      </c>
      <c r="G78" s="3">
        <f t="shared" si="1"/>
        <v>0</v>
      </c>
    </row>
    <row r="79" spans="2:7" x14ac:dyDescent="0.35">
      <c r="B79" s="2" t="str">
        <f>IF(Base_de_donnee_articles!B79="","",Base_de_donnee_articles!B79)</f>
        <v>sac poubelle 20l x 1000</v>
      </c>
      <c r="C79" s="2">
        <f>IF(Base_de_donnee_articles!C79="","",Base_de_donnee_articles!C79)</f>
        <v>2574</v>
      </c>
      <c r="D79" s="2">
        <f>IF(Inventaire!C79="","",Inventaire!C79/Base_de_donnee_articles!G79)</f>
        <v>0</v>
      </c>
      <c r="E79" s="2">
        <f>IF(B79="","",SUMIFS(Journal_entrees_et_sorties!D$8:D$400,Journal_entrees_et_sorties!C$8:C$400,C79))</f>
        <v>0</v>
      </c>
      <c r="F79" s="2">
        <f>IF(Inventaire!D79="","",Inventaire!D79/Base_de_donnee_articles!G79)</f>
        <v>0</v>
      </c>
      <c r="G79" s="3">
        <f t="shared" si="1"/>
        <v>0</v>
      </c>
    </row>
    <row r="80" spans="2:7" x14ac:dyDescent="0.35">
      <c r="B80" s="2" t="str">
        <f>IF(Base_de_donnee_articles!B80="","",Base_de_donnee_articles!B80)</f>
        <v>sac poubelle 110l x 200</v>
      </c>
      <c r="C80" s="2">
        <f>IF(Base_de_donnee_articles!C80="","",Base_de_donnee_articles!C80)</f>
        <v>2583</v>
      </c>
      <c r="D80" s="2">
        <f>IF(Inventaire!C80="","",Inventaire!C80/Base_de_donnee_articles!G80)</f>
        <v>0</v>
      </c>
      <c r="E80" s="2">
        <f>IF(B80="","",SUMIFS(Journal_entrees_et_sorties!D$8:D$400,Journal_entrees_et_sorties!C$8:C$400,C80))</f>
        <v>0</v>
      </c>
      <c r="F80" s="2">
        <f>IF(Inventaire!D80="","",Inventaire!D80/Base_de_donnee_articles!G80)</f>
        <v>0</v>
      </c>
      <c r="G80" s="3">
        <f t="shared" si="1"/>
        <v>0</v>
      </c>
    </row>
    <row r="81" spans="2:7" x14ac:dyDescent="0.35">
      <c r="B81" s="2" t="str">
        <f>IF(Base_de_donnee_articles!B81="","",Base_de_donnee_articles!B81)</f>
        <v>sac poubelle 10l x 66</v>
      </c>
      <c r="C81" s="2" t="str">
        <f>IF(Base_de_donnee_articles!C81="","",Base_de_donnee_articles!C81)</f>
        <v>manquante</v>
      </c>
      <c r="D81" s="2">
        <f>IF(Inventaire!C81="","",Inventaire!C81/Base_de_donnee_articles!G81)</f>
        <v>0</v>
      </c>
      <c r="E81" s="2">
        <f>IF(B81="","",SUMIFS(Journal_entrees_et_sorties!D$8:D$400,Journal_entrees_et_sorties!C$8:C$400,C81))</f>
        <v>0</v>
      </c>
      <c r="F81" s="2">
        <f>IF(Inventaire!D81="","",Inventaire!D81/Base_de_donnee_articles!G81)</f>
        <v>0</v>
      </c>
      <c r="G81" s="3">
        <f t="shared" si="1"/>
        <v>0</v>
      </c>
    </row>
    <row r="82" spans="2:7" x14ac:dyDescent="0.35">
      <c r="B82" s="2" t="str">
        <f>IF(Base_de_donnee_articles!B82="","",Base_de_donnee_articles!B82)</f>
        <v>alcool ménager citron 1l x 12</v>
      </c>
      <c r="C82" s="2" t="str">
        <f>IF(Base_de_donnee_articles!C82="","",Base_de_donnee_articles!C82)</f>
        <v>2743C</v>
      </c>
      <c r="D82" s="2">
        <f>IF(Inventaire!C82="","",Inventaire!C82/Base_de_donnee_articles!G82)</f>
        <v>0</v>
      </c>
      <c r="E82" s="2">
        <f>IF(B82="","",SUMIFS(Journal_entrees_et_sorties!D$8:D$400,Journal_entrees_et_sorties!C$8:C$400,C82))</f>
        <v>0</v>
      </c>
      <c r="F82" s="2">
        <f>IF(Inventaire!D82="","",Inventaire!D82/Base_de_donnee_articles!G82)</f>
        <v>0</v>
      </c>
      <c r="G82" s="3">
        <f t="shared" si="1"/>
        <v>0</v>
      </c>
    </row>
    <row r="83" spans="2:7" x14ac:dyDescent="0.35">
      <c r="B83" s="2" t="str">
        <f>IF(Base_de_donnee_articles!B83="","",Base_de_donnee_articles!B83)</f>
        <v>glass cleaner</v>
      </c>
      <c r="C83" s="2">
        <f>IF(Base_de_donnee_articles!C83="","",Base_de_donnee_articles!C83)</f>
        <v>706862</v>
      </c>
      <c r="D83" s="2">
        <f>IF(Inventaire!C83="","",Inventaire!C83/Base_de_donnee_articles!G83)</f>
        <v>0</v>
      </c>
      <c r="E83" s="2">
        <f>IF(B83="","",SUMIFS(Journal_entrees_et_sorties!D$8:D$400,Journal_entrees_et_sorties!C$8:C$400,C83))</f>
        <v>0</v>
      </c>
      <c r="F83" s="2">
        <f>IF(Inventaire!D83="","",Inventaire!D83/Base_de_donnee_articles!G83)</f>
        <v>0</v>
      </c>
      <c r="G83" s="3">
        <f t="shared" si="1"/>
        <v>0</v>
      </c>
    </row>
    <row r="84" spans="2:7" x14ac:dyDescent="0.35">
      <c r="B84" s="2" t="str">
        <f>IF(Base_de_donnee_articles!B84="","",Base_de_donnee_articles!B84)</f>
        <v/>
      </c>
      <c r="C84" s="2" t="str">
        <f>IF(Base_de_donnee_articles!C84="","",Base_de_donnee_articles!C84)</f>
        <v/>
      </c>
      <c r="D84" s="2" t="e">
        <f>IF(Inventaire!C84="","",Inventaire!C84/Base_de_donnee_articles!G84)</f>
        <v>#DIV/0!</v>
      </c>
      <c r="E84" s="2" t="str">
        <f>IF(B84="","",SUMIFS(Journal_entrees_et_sorties!D$8:D$400,Journal_entrees_et_sorties!C$8:C$400,C84))</f>
        <v/>
      </c>
      <c r="F84" s="2" t="e">
        <f>IF(Inventaire!D84="","",Inventaire!D84/Base_de_donnee_articles!G84)</f>
        <v>#DIV/0!</v>
      </c>
      <c r="G84" s="3" t="str">
        <f t="shared" si="1"/>
        <v/>
      </c>
    </row>
    <row r="85" spans="2:7" x14ac:dyDescent="0.35">
      <c r="B85" s="2" t="str">
        <f>IF(Base_de_donnee_articles!B85="","",Base_de_donnee_articles!B85)</f>
        <v/>
      </c>
      <c r="C85" s="2" t="str">
        <f>IF(Base_de_donnee_articles!C85="","",Base_de_donnee_articles!C85)</f>
        <v/>
      </c>
      <c r="D85" s="2" t="e">
        <f>IF(Inventaire!C85="","",Inventaire!C85/Base_de_donnee_articles!G85)</f>
        <v>#DIV/0!</v>
      </c>
      <c r="E85" s="2" t="str">
        <f>IF(B85="","",SUMIFS(Journal_entrees_et_sorties!D$8:D$400,Journal_entrees_et_sorties!C$8:C$400,C85))</f>
        <v/>
      </c>
      <c r="F85" s="2" t="e">
        <f>IF(Inventaire!D85="","",Inventaire!D85/Base_de_donnee_articles!G85)</f>
        <v>#DIV/0!</v>
      </c>
      <c r="G85" s="3" t="str">
        <f t="shared" si="1"/>
        <v/>
      </c>
    </row>
    <row r="86" spans="2:7" x14ac:dyDescent="0.35">
      <c r="B86" s="2" t="str">
        <f>IF(Base_de_donnee_articles!B86="","",Base_de_donnee_articles!B86)</f>
        <v/>
      </c>
      <c r="C86" s="2" t="str">
        <f>IF(Base_de_donnee_articles!C86="","",Base_de_donnee_articles!C86)</f>
        <v/>
      </c>
      <c r="D86" s="2" t="e">
        <f>IF(Inventaire!C86="","",Inventaire!C86/Base_de_donnee_articles!G86)</f>
        <v>#DIV/0!</v>
      </c>
      <c r="E86" s="2" t="str">
        <f>IF(B86="","",SUMIFS(Journal_entrees_et_sorties!D$8:D$400,Journal_entrees_et_sorties!C$8:C$400,C86))</f>
        <v/>
      </c>
      <c r="F86" s="2" t="e">
        <f>IF(Inventaire!D86="","",Inventaire!D86/Base_de_donnee_articles!G86)</f>
        <v>#DIV/0!</v>
      </c>
      <c r="G86" s="3" t="str">
        <f t="shared" si="1"/>
        <v/>
      </c>
    </row>
    <row r="87" spans="2:7" x14ac:dyDescent="0.35">
      <c r="B87" s="2" t="str">
        <f>IF(Base_de_donnee_articles!B87="","",Base_de_donnee_articles!B87)</f>
        <v/>
      </c>
      <c r="C87" s="2" t="str">
        <f>IF(Base_de_donnee_articles!C87="","",Base_de_donnee_articles!C87)</f>
        <v/>
      </c>
      <c r="D87" s="2" t="e">
        <f>IF(Inventaire!C87="","",Inventaire!C87/Base_de_donnee_articles!G87)</f>
        <v>#DIV/0!</v>
      </c>
      <c r="E87" s="2" t="str">
        <f>IF(B87="","",SUMIFS(Journal_entrees_et_sorties!D$8:D$400,Journal_entrees_et_sorties!C$8:C$400,C87))</f>
        <v/>
      </c>
      <c r="F87" s="2" t="e">
        <f>IF(Inventaire!D87="","",Inventaire!D87/Base_de_donnee_articles!G87)</f>
        <v>#DIV/0!</v>
      </c>
      <c r="G87" s="3" t="str">
        <f t="shared" si="1"/>
        <v/>
      </c>
    </row>
    <row r="88" spans="2:7" x14ac:dyDescent="0.35">
      <c r="B88" s="2" t="str">
        <f>IF(Base_de_donnee_articles!B88="","",Base_de_donnee_articles!B88)</f>
        <v/>
      </c>
      <c r="C88" s="2" t="str">
        <f>IF(Base_de_donnee_articles!C88="","",Base_de_donnee_articles!C88)</f>
        <v/>
      </c>
      <c r="D88" s="2" t="e">
        <f>IF(Inventaire!C88="","",Inventaire!C88/Base_de_donnee_articles!G88)</f>
        <v>#DIV/0!</v>
      </c>
      <c r="E88" s="2" t="str">
        <f>IF(B88="","",SUMIFS(Journal_entrees_et_sorties!D$8:D$400,Journal_entrees_et_sorties!C$8:C$400,C88))</f>
        <v/>
      </c>
      <c r="F88" s="2" t="e">
        <f>IF(Inventaire!D88="","",Inventaire!D88/Base_de_donnee_articles!G88)</f>
        <v>#DIV/0!</v>
      </c>
      <c r="G88" s="3" t="str">
        <f t="shared" si="1"/>
        <v/>
      </c>
    </row>
    <row r="89" spans="2:7" x14ac:dyDescent="0.35">
      <c r="B89" s="2" t="str">
        <f>IF(Base_de_donnee_articles!B89="","",Base_de_donnee_articles!B89)</f>
        <v/>
      </c>
      <c r="C89" s="2" t="str">
        <f>IF(Base_de_donnee_articles!C89="","",Base_de_donnee_articles!C89)</f>
        <v/>
      </c>
      <c r="D89" s="2" t="e">
        <f>IF(Inventaire!C89="","",Inventaire!C89/Base_de_donnee_articles!G89)</f>
        <v>#DIV/0!</v>
      </c>
      <c r="E89" s="2" t="str">
        <f>IF(B89="","",SUMIFS(Journal_entrees_et_sorties!D$8:D$400,Journal_entrees_et_sorties!C$8:C$400,C89))</f>
        <v/>
      </c>
      <c r="F89" s="2" t="e">
        <f>IF(Inventaire!D89="","",Inventaire!D89/Base_de_donnee_articles!G89)</f>
        <v>#DIV/0!</v>
      </c>
      <c r="G89" s="3" t="str">
        <f t="shared" si="1"/>
        <v/>
      </c>
    </row>
    <row r="90" spans="2:7" x14ac:dyDescent="0.35">
      <c r="B90" s="2" t="str">
        <f>IF(Base_de_donnee_articles!B90="","",Base_de_donnee_articles!B90)</f>
        <v/>
      </c>
      <c r="C90" s="2" t="str">
        <f>IF(Base_de_donnee_articles!C90="","",Base_de_donnee_articles!C90)</f>
        <v/>
      </c>
      <c r="D90" s="2" t="e">
        <f>IF(Inventaire!C90="","",Inventaire!C90/Base_de_donnee_articles!G90)</f>
        <v>#DIV/0!</v>
      </c>
      <c r="E90" s="2" t="str">
        <f>IF(B90="","",SUMIFS(Journal_entrees_et_sorties!D$8:D$400,Journal_entrees_et_sorties!C$8:C$400,C90))</f>
        <v/>
      </c>
      <c r="F90" s="2" t="e">
        <f>IF(Inventaire!D90="","",Inventaire!D90/Base_de_donnee_articles!G90)</f>
        <v>#DIV/0!</v>
      </c>
      <c r="G90" s="3" t="str">
        <f t="shared" si="1"/>
        <v/>
      </c>
    </row>
    <row r="91" spans="2:7" x14ac:dyDescent="0.35">
      <c r="B91" s="2" t="str">
        <f>IF(Base_de_donnee_articles!B91="","",Base_de_donnee_articles!B91)</f>
        <v/>
      </c>
      <c r="C91" s="2" t="str">
        <f>IF(Base_de_donnee_articles!C91="","",Base_de_donnee_articles!C91)</f>
        <v/>
      </c>
      <c r="D91" s="2" t="e">
        <f>IF(Inventaire!C91="","",Inventaire!C91/Base_de_donnee_articles!G91)</f>
        <v>#DIV/0!</v>
      </c>
      <c r="E91" s="2" t="str">
        <f>IF(B91="","",SUMIFS(Journal_entrees_et_sorties!D$8:D$400,Journal_entrees_et_sorties!C$8:C$400,C91))</f>
        <v/>
      </c>
      <c r="F91" s="2" t="e">
        <f>IF(Inventaire!D91="","",Inventaire!D91/Base_de_donnee_articles!G91)</f>
        <v>#DIV/0!</v>
      </c>
      <c r="G91" s="3" t="str">
        <f t="shared" si="1"/>
        <v/>
      </c>
    </row>
    <row r="92" spans="2:7" x14ac:dyDescent="0.35">
      <c r="B92" s="2" t="str">
        <f>IF(Base_de_donnee_articles!B92="","",Base_de_donnee_articles!B92)</f>
        <v/>
      </c>
      <c r="C92" s="2" t="str">
        <f>IF(Base_de_donnee_articles!C92="","",Base_de_donnee_articles!C92)</f>
        <v/>
      </c>
      <c r="D92" s="2" t="e">
        <f>IF(Inventaire!C92="","",Inventaire!C92/Base_de_donnee_articles!G92)</f>
        <v>#DIV/0!</v>
      </c>
      <c r="E92" s="2" t="str">
        <f>IF(B92="","",SUMIFS(Journal_entrees_et_sorties!D$8:D$400,Journal_entrees_et_sorties!C$8:C$400,C92))</f>
        <v/>
      </c>
      <c r="F92" s="2" t="e">
        <f>IF(Inventaire!D92="","",Inventaire!D92/Base_de_donnee_articles!G92)</f>
        <v>#DIV/0!</v>
      </c>
      <c r="G92" s="3" t="str">
        <f t="shared" si="1"/>
        <v/>
      </c>
    </row>
    <row r="93" spans="2:7" x14ac:dyDescent="0.35">
      <c r="B93" s="2" t="str">
        <f>IF(Base_de_donnee_articles!B93="","",Base_de_donnee_articles!B93)</f>
        <v/>
      </c>
      <c r="C93" s="2" t="str">
        <f>IF(Base_de_donnee_articles!C93="","",Base_de_donnee_articles!C93)</f>
        <v/>
      </c>
      <c r="D93" s="2" t="e">
        <f>IF(Inventaire!C93="","",Inventaire!C93/Base_de_donnee_articles!G93)</f>
        <v>#DIV/0!</v>
      </c>
      <c r="E93" s="2" t="str">
        <f>IF(B93="","",SUMIFS(Journal_entrees_et_sorties!D$8:D$400,Journal_entrees_et_sorties!C$8:C$400,C93))</f>
        <v/>
      </c>
      <c r="F93" s="2" t="e">
        <f>IF(Inventaire!D93="","",Inventaire!D93/Base_de_donnee_articles!G93)</f>
        <v>#DIV/0!</v>
      </c>
      <c r="G93" s="3" t="str">
        <f t="shared" si="1"/>
        <v/>
      </c>
    </row>
    <row r="94" spans="2:7" x14ac:dyDescent="0.35">
      <c r="B94" s="2" t="str">
        <f>IF(Base_de_donnee_articles!B94="","",Base_de_donnee_articles!B94)</f>
        <v/>
      </c>
      <c r="C94" s="2" t="str">
        <f>IF(Base_de_donnee_articles!C94="","",Base_de_donnee_articles!C94)</f>
        <v/>
      </c>
      <c r="D94" s="2" t="e">
        <f>IF(Inventaire!C94="","",Inventaire!C94/Base_de_donnee_articles!G94)</f>
        <v>#DIV/0!</v>
      </c>
      <c r="E94" s="2" t="str">
        <f>IF(B94="","",SUMIFS(Journal_entrees_et_sorties!D$8:D$400,Journal_entrees_et_sorties!C$8:C$400,C94))</f>
        <v/>
      </c>
      <c r="F94" s="2" t="e">
        <f>IF(Inventaire!D94="","",Inventaire!D94/Base_de_donnee_articles!G94)</f>
        <v>#DIV/0!</v>
      </c>
      <c r="G94" s="3" t="str">
        <f t="shared" si="1"/>
        <v/>
      </c>
    </row>
    <row r="95" spans="2:7" x14ac:dyDescent="0.35">
      <c r="B95" s="2" t="str">
        <f>IF(Base_de_donnee_articles!B95="","",Base_de_donnee_articles!B95)</f>
        <v/>
      </c>
      <c r="C95" s="2" t="str">
        <f>IF(Base_de_donnee_articles!C95="","",Base_de_donnee_articles!C95)</f>
        <v/>
      </c>
      <c r="D95" s="2" t="e">
        <f>IF(Inventaire!C95="","",Inventaire!C95/Base_de_donnee_articles!G95)</f>
        <v>#DIV/0!</v>
      </c>
      <c r="E95" s="2" t="str">
        <f>IF(B95="","",SUMIFS(Journal_entrees_et_sorties!D$8:D$400,Journal_entrees_et_sorties!C$8:C$400,C95))</f>
        <v/>
      </c>
      <c r="F95" s="2" t="e">
        <f>IF(Inventaire!D95="","",Inventaire!D95/Base_de_donnee_articles!G95)</f>
        <v>#DIV/0!</v>
      </c>
      <c r="G95" s="3" t="str">
        <f t="shared" si="1"/>
        <v/>
      </c>
    </row>
    <row r="96" spans="2:7" x14ac:dyDescent="0.35">
      <c r="B96" s="2" t="str">
        <f>IF(Base_de_donnee_articles!B96="","",Base_de_donnee_articles!B96)</f>
        <v/>
      </c>
      <c r="C96" s="2" t="str">
        <f>IF(Base_de_donnee_articles!C96="","",Base_de_donnee_articles!C96)</f>
        <v/>
      </c>
      <c r="D96" s="2" t="e">
        <f>IF(Inventaire!C96="","",Inventaire!C96/Base_de_donnee_articles!G96)</f>
        <v>#DIV/0!</v>
      </c>
      <c r="E96" s="2" t="str">
        <f>IF(B96="","",SUMIFS(Journal_entrees_et_sorties!D$8:D$400,Journal_entrees_et_sorties!C$8:C$400,C96))</f>
        <v/>
      </c>
      <c r="F96" s="2" t="e">
        <f>IF(Inventaire!D96="","",Inventaire!D96/Base_de_donnee_articles!G96)</f>
        <v>#DIV/0!</v>
      </c>
      <c r="G96" s="3" t="str">
        <f t="shared" si="1"/>
        <v/>
      </c>
    </row>
    <row r="97" spans="2:7" x14ac:dyDescent="0.35">
      <c r="B97" s="2" t="str">
        <f>IF(Base_de_donnee_articles!B97="","",Base_de_donnee_articles!B97)</f>
        <v/>
      </c>
      <c r="C97" s="2" t="str">
        <f>IF(Base_de_donnee_articles!C97="","",Base_de_donnee_articles!C97)</f>
        <v/>
      </c>
      <c r="D97" s="2" t="e">
        <f>IF(Inventaire!C97="","",Inventaire!C97/Base_de_donnee_articles!G97)</f>
        <v>#DIV/0!</v>
      </c>
      <c r="E97" s="2" t="str">
        <f>IF(B97="","",SUMIFS(Journal_entrees_et_sorties!D$8:D$400,Journal_entrees_et_sorties!C$8:C$400,C97))</f>
        <v/>
      </c>
      <c r="F97" s="2" t="e">
        <f>IF(Inventaire!D97="","",Inventaire!D97/Base_de_donnee_articles!G97)</f>
        <v>#DIV/0!</v>
      </c>
      <c r="G97" s="3" t="str">
        <f t="shared" si="1"/>
        <v/>
      </c>
    </row>
    <row r="98" spans="2:7" x14ac:dyDescent="0.35">
      <c r="B98" s="2" t="str">
        <f>IF(Base_de_donnee_articles!B98="","",Base_de_donnee_articles!B98)</f>
        <v/>
      </c>
      <c r="C98" s="2" t="str">
        <f>IF(Base_de_donnee_articles!C98="","",Base_de_donnee_articles!C98)</f>
        <v/>
      </c>
      <c r="D98" s="2" t="e">
        <f>IF(Inventaire!C98="","",Inventaire!C98/Base_de_donnee_articles!G98)</f>
        <v>#DIV/0!</v>
      </c>
      <c r="E98" s="2" t="str">
        <f>IF(B98="","",SUMIFS(Journal_entrees_et_sorties!D$8:D$400,Journal_entrees_et_sorties!C$8:C$400,C98))</f>
        <v/>
      </c>
      <c r="F98" s="2" t="e">
        <f>IF(Inventaire!D98="","",Inventaire!D98/Base_de_donnee_articles!G98)</f>
        <v>#DIV/0!</v>
      </c>
      <c r="G98" s="3" t="str">
        <f t="shared" si="1"/>
        <v/>
      </c>
    </row>
    <row r="99" spans="2:7" x14ac:dyDescent="0.35">
      <c r="B99" s="2" t="str">
        <f>IF(Base_de_donnee_articles!B99="","",Base_de_donnee_articles!B99)</f>
        <v/>
      </c>
      <c r="C99" s="2" t="str">
        <f>IF(Base_de_donnee_articles!C99="","",Base_de_donnee_articles!C99)</f>
        <v/>
      </c>
      <c r="D99" s="2" t="e">
        <f>IF(Inventaire!C99="","",Inventaire!C99/Base_de_donnee_articles!G99)</f>
        <v>#DIV/0!</v>
      </c>
      <c r="E99" s="2" t="str">
        <f>IF(B99="","",SUMIFS(Journal_entrees_et_sorties!D$8:D$400,Journal_entrees_et_sorties!C$8:C$400,C99))</f>
        <v/>
      </c>
      <c r="F99" s="2" t="e">
        <f>IF(Inventaire!D99="","",Inventaire!D99/Base_de_donnee_articles!G99)</f>
        <v>#DIV/0!</v>
      </c>
      <c r="G99" s="3" t="str">
        <f t="shared" si="1"/>
        <v/>
      </c>
    </row>
    <row r="100" spans="2:7" x14ac:dyDescent="0.35">
      <c r="B100" s="2" t="str">
        <f>IF(Base_de_donnee_articles!B100="","",Base_de_donnee_articles!B100)</f>
        <v/>
      </c>
      <c r="C100" s="2" t="str">
        <f>IF(Base_de_donnee_articles!C100="","",Base_de_donnee_articles!C100)</f>
        <v/>
      </c>
      <c r="D100" s="2" t="e">
        <f>IF(Inventaire!C100="","",Inventaire!C100/Base_de_donnee_articles!G100)</f>
        <v>#DIV/0!</v>
      </c>
      <c r="E100" s="2" t="str">
        <f>IF(B100="","",SUMIFS(Journal_entrees_et_sorties!D$8:D$400,Journal_entrees_et_sorties!C$8:C$400,C100))</f>
        <v/>
      </c>
      <c r="F100" s="2" t="e">
        <f>IF(Inventaire!D100="","",Inventaire!D100/Base_de_donnee_articles!G100)</f>
        <v>#DIV/0!</v>
      </c>
      <c r="G100" s="3" t="str">
        <f t="shared" si="1"/>
        <v/>
      </c>
    </row>
    <row r="101" spans="2:7" x14ac:dyDescent="0.35">
      <c r="B101" s="2" t="str">
        <f>IF(Base_de_donnee_articles!B101="","",Base_de_donnee_articles!B101)</f>
        <v/>
      </c>
      <c r="C101" s="2" t="str">
        <f>IF(Base_de_donnee_articles!C101="","",Base_de_donnee_articles!C101)</f>
        <v/>
      </c>
      <c r="D101" s="2" t="e">
        <f>IF(Inventaire!C101="","",Inventaire!C101/Base_de_donnee_articles!G101)</f>
        <v>#DIV/0!</v>
      </c>
      <c r="E101" s="2" t="str">
        <f>IF(B101="","",SUMIFS(Journal_entrees_et_sorties!D$8:D$400,Journal_entrees_et_sorties!C$8:C$400,C101))</f>
        <v/>
      </c>
      <c r="F101" s="2" t="e">
        <f>IF(Inventaire!D101="","",Inventaire!D101/Base_de_donnee_articles!G101)</f>
        <v>#DIV/0!</v>
      </c>
      <c r="G101" s="3" t="str">
        <f t="shared" si="1"/>
        <v/>
      </c>
    </row>
    <row r="102" spans="2:7" x14ac:dyDescent="0.35">
      <c r="B102" s="2" t="str">
        <f>IF(Base_de_donnee_articles!B102="","",Base_de_donnee_articles!B102)</f>
        <v/>
      </c>
      <c r="C102" s="2" t="str">
        <f>IF(Base_de_donnee_articles!C102="","",Base_de_donnee_articles!C102)</f>
        <v/>
      </c>
      <c r="D102" s="2" t="e">
        <f>IF(Inventaire!C102="","",Inventaire!C102/Base_de_donnee_articles!G102)</f>
        <v>#DIV/0!</v>
      </c>
      <c r="E102" s="2" t="str">
        <f>IF(B102="","",SUMIFS(Journal_entrees_et_sorties!D$8:D$400,Journal_entrees_et_sorties!C$8:C$400,C102))</f>
        <v/>
      </c>
      <c r="F102" s="2" t="e">
        <f>IF(Inventaire!D102="","",Inventaire!D102/Base_de_donnee_articles!G102)</f>
        <v>#DIV/0!</v>
      </c>
      <c r="G102" s="3" t="str">
        <f t="shared" si="1"/>
        <v/>
      </c>
    </row>
    <row r="103" spans="2:7" x14ac:dyDescent="0.35">
      <c r="B103" s="2" t="str">
        <f>IF(Base_de_donnee_articles!B103="","",Base_de_donnee_articles!B103)</f>
        <v/>
      </c>
      <c r="C103" s="2" t="str">
        <f>IF(Base_de_donnee_articles!C103="","",Base_de_donnee_articles!C103)</f>
        <v/>
      </c>
      <c r="D103" s="2" t="e">
        <f>IF(Inventaire!C103="","",Inventaire!C103/Base_de_donnee_articles!G103)</f>
        <v>#DIV/0!</v>
      </c>
      <c r="E103" s="2" t="str">
        <f>IF(B103="","",SUMIFS(Journal_entrees_et_sorties!D$8:D$400,Journal_entrees_et_sorties!C$8:C$400,C103))</f>
        <v/>
      </c>
      <c r="F103" s="2" t="e">
        <f>IF(Inventaire!D103="","",Inventaire!D103/Base_de_donnee_articles!G103)</f>
        <v>#DIV/0!</v>
      </c>
      <c r="G103" s="3" t="str">
        <f t="shared" si="1"/>
        <v/>
      </c>
    </row>
    <row r="104" spans="2:7" x14ac:dyDescent="0.35">
      <c r="B104" s="2" t="str">
        <f>IF(Base_de_donnee_articles!B104="","",Base_de_donnee_articles!B104)</f>
        <v/>
      </c>
      <c r="C104" s="2" t="str">
        <f>IF(Base_de_donnee_articles!C104="","",Base_de_donnee_articles!C104)</f>
        <v/>
      </c>
      <c r="D104" s="2" t="e">
        <f>IF(Inventaire!C104="","",Inventaire!C104/Base_de_donnee_articles!G104)</f>
        <v>#DIV/0!</v>
      </c>
      <c r="E104" s="2" t="str">
        <f>IF(B104="","",SUMIFS(Journal_entrees_et_sorties!D$8:D$400,Journal_entrees_et_sorties!C$8:C$400,C104))</f>
        <v/>
      </c>
      <c r="F104" s="2" t="e">
        <f>IF(Inventaire!D104="","",Inventaire!D104/Base_de_donnee_articles!G104)</f>
        <v>#DIV/0!</v>
      </c>
      <c r="G104" s="3" t="str">
        <f t="shared" si="1"/>
        <v/>
      </c>
    </row>
    <row r="105" spans="2:7" x14ac:dyDescent="0.35">
      <c r="B105" s="2" t="str">
        <f>IF(Base_de_donnee_articles!B105="","",Base_de_donnee_articles!B105)</f>
        <v/>
      </c>
      <c r="C105" s="2" t="str">
        <f>IF(Base_de_donnee_articles!C105="","",Base_de_donnee_articles!C105)</f>
        <v/>
      </c>
      <c r="D105" s="2" t="e">
        <f>IF(Inventaire!C105="","",Inventaire!C105/Base_de_donnee_articles!G105)</f>
        <v>#DIV/0!</v>
      </c>
      <c r="E105" s="2" t="str">
        <f>IF(B105="","",SUMIFS(Journal_entrees_et_sorties!D$8:D$400,Journal_entrees_et_sorties!C$8:C$400,C105))</f>
        <v/>
      </c>
      <c r="F105" s="2" t="e">
        <f>IF(Inventaire!D105="","",Inventaire!D105/Base_de_donnee_articles!G105)</f>
        <v>#DIV/0!</v>
      </c>
      <c r="G105" s="3" t="str">
        <f t="shared" si="1"/>
        <v/>
      </c>
    </row>
    <row r="106" spans="2:7" x14ac:dyDescent="0.35">
      <c r="B106" s="2" t="str">
        <f>IF(Base_de_donnee_articles!B106="","",Base_de_donnee_articles!B106)</f>
        <v/>
      </c>
      <c r="C106" s="2" t="str">
        <f>IF(Base_de_donnee_articles!C106="","",Base_de_donnee_articles!C106)</f>
        <v/>
      </c>
      <c r="D106" s="2" t="e">
        <f>IF(Inventaire!C106="","",Inventaire!C106/Base_de_donnee_articles!G106)</f>
        <v>#DIV/0!</v>
      </c>
      <c r="E106" s="2" t="str">
        <f>IF(B106="","",SUMIFS(Journal_entrees_et_sorties!D$8:D$400,Journal_entrees_et_sorties!C$8:C$400,C106))</f>
        <v/>
      </c>
      <c r="F106" s="2" t="e">
        <f>IF(Inventaire!D106="","",Inventaire!D106/Base_de_donnee_articles!G106)</f>
        <v>#DIV/0!</v>
      </c>
      <c r="G106" s="3" t="str">
        <f t="shared" si="1"/>
        <v/>
      </c>
    </row>
    <row r="107" spans="2:7" x14ac:dyDescent="0.35">
      <c r="B107" s="2" t="str">
        <f>IF(Base_de_donnee_articles!B107="","",Base_de_donnee_articles!B107)</f>
        <v/>
      </c>
      <c r="C107" s="2" t="str">
        <f>IF(Base_de_donnee_articles!C107="","",Base_de_donnee_articles!C107)</f>
        <v/>
      </c>
      <c r="D107" s="2" t="e">
        <f>IF(Inventaire!C107="","",Inventaire!C107/Base_de_donnee_articles!G107)</f>
        <v>#DIV/0!</v>
      </c>
      <c r="E107" s="2" t="str">
        <f>IF(B107="","",SUMIFS(Journal_entrees_et_sorties!D$8:D$400,Journal_entrees_et_sorties!C$8:C$400,C107))</f>
        <v/>
      </c>
      <c r="F107" s="2" t="e">
        <f>IF(Inventaire!D107="","",Inventaire!D107/Base_de_donnee_articles!G107)</f>
        <v>#DIV/0!</v>
      </c>
      <c r="G107" s="3" t="str">
        <f t="shared" si="1"/>
        <v/>
      </c>
    </row>
    <row r="108" spans="2:7" x14ac:dyDescent="0.35">
      <c r="B108" s="2" t="str">
        <f>IF(Base_de_donnee_articles!B108="","",Base_de_donnee_articles!B108)</f>
        <v/>
      </c>
      <c r="C108" s="2" t="str">
        <f>IF(Base_de_donnee_articles!C108="","",Base_de_donnee_articles!C108)</f>
        <v/>
      </c>
      <c r="D108" s="2" t="e">
        <f>IF(Inventaire!C108="","",Inventaire!C108/Base_de_donnee_articles!G108)</f>
        <v>#DIV/0!</v>
      </c>
      <c r="E108" s="2" t="str">
        <f>IF(B108="","",SUMIFS(Journal_entrees_et_sorties!D$8:D$400,Journal_entrees_et_sorties!C$8:C$400,C108))</f>
        <v/>
      </c>
      <c r="F108" s="2" t="e">
        <f>IF(Inventaire!D108="","",Inventaire!D108/Base_de_donnee_articles!G108)</f>
        <v>#DIV/0!</v>
      </c>
      <c r="G108" s="3" t="str">
        <f t="shared" si="1"/>
        <v/>
      </c>
    </row>
    <row r="109" spans="2:7" x14ac:dyDescent="0.35">
      <c r="B109" s="2" t="str">
        <f>IF(Base_de_donnee_articles!B109="","",Base_de_donnee_articles!B109)</f>
        <v/>
      </c>
      <c r="C109" s="2" t="str">
        <f>IF(Base_de_donnee_articles!C109="","",Base_de_donnee_articles!C109)</f>
        <v/>
      </c>
      <c r="D109" s="2" t="e">
        <f>IF(Inventaire!C109="","",Inventaire!C109/Base_de_donnee_articles!G109)</f>
        <v>#DIV/0!</v>
      </c>
      <c r="E109" s="2" t="str">
        <f>IF(B109="","",SUMIFS(Journal_entrees_et_sorties!D$8:D$400,Journal_entrees_et_sorties!C$8:C$400,C109))</f>
        <v/>
      </c>
      <c r="F109" s="2" t="e">
        <f>IF(Inventaire!D109="","",Inventaire!D109/Base_de_donnee_articles!G109)</f>
        <v>#DIV/0!</v>
      </c>
      <c r="G109" s="3" t="str">
        <f t="shared" si="1"/>
        <v/>
      </c>
    </row>
    <row r="110" spans="2:7" x14ac:dyDescent="0.35">
      <c r="B110" s="2" t="str">
        <f>IF(Base_de_donnee_articles!B110="","",Base_de_donnee_articles!B110)</f>
        <v/>
      </c>
      <c r="C110" s="2" t="str">
        <f>IF(Base_de_donnee_articles!C110="","",Base_de_donnee_articles!C110)</f>
        <v/>
      </c>
      <c r="D110" s="2" t="e">
        <f>IF(Inventaire!C110="","",Inventaire!C110/Base_de_donnee_articles!G110)</f>
        <v>#DIV/0!</v>
      </c>
      <c r="E110" s="2" t="str">
        <f>IF(B110="","",SUMIFS(Journal_entrees_et_sorties!D$8:D$400,Journal_entrees_et_sorties!C$8:C$400,C110))</f>
        <v/>
      </c>
      <c r="F110" s="2" t="e">
        <f>IF(Inventaire!D110="","",Inventaire!D110/Base_de_donnee_articles!G110)</f>
        <v>#DIV/0!</v>
      </c>
      <c r="G110" s="3" t="str">
        <f t="shared" si="1"/>
        <v/>
      </c>
    </row>
    <row r="111" spans="2:7" x14ac:dyDescent="0.35">
      <c r="B111" s="2" t="str">
        <f>IF(Base_de_donnee_articles!B111="","",Base_de_donnee_articles!B111)</f>
        <v/>
      </c>
      <c r="C111" s="2" t="str">
        <f>IF(Base_de_donnee_articles!C111="","",Base_de_donnee_articles!C111)</f>
        <v/>
      </c>
      <c r="D111" s="2" t="e">
        <f>IF(Inventaire!C111="","",Inventaire!C111/Base_de_donnee_articles!G111)</f>
        <v>#DIV/0!</v>
      </c>
      <c r="E111" s="2" t="str">
        <f>IF(B111="","",SUMIFS(Journal_entrees_et_sorties!D$8:D$400,Journal_entrees_et_sorties!C$8:C$400,C111))</f>
        <v/>
      </c>
      <c r="F111" s="2" t="e">
        <f>IF(Inventaire!D111="","",Inventaire!D111/Base_de_donnee_articles!G111)</f>
        <v>#DIV/0!</v>
      </c>
      <c r="G111" s="3" t="str">
        <f t="shared" si="1"/>
        <v/>
      </c>
    </row>
    <row r="112" spans="2:7" x14ac:dyDescent="0.35">
      <c r="B112" s="2" t="str">
        <f>IF(Base_de_donnee_articles!B112="","",Base_de_donnee_articles!B112)</f>
        <v/>
      </c>
      <c r="C112" s="2" t="str">
        <f>IF(Base_de_donnee_articles!C112="","",Base_de_donnee_articles!C112)</f>
        <v/>
      </c>
      <c r="D112" s="2" t="e">
        <f>IF(Inventaire!C112="","",Inventaire!C112/Base_de_donnee_articles!G112)</f>
        <v>#DIV/0!</v>
      </c>
      <c r="E112" s="2" t="str">
        <f>IF(B112="","",SUMIFS(Journal_entrees_et_sorties!D$8:D$400,Journal_entrees_et_sorties!C$8:C$400,C112))</f>
        <v/>
      </c>
      <c r="F112" s="2" t="e">
        <f>IF(Inventaire!D112="","",Inventaire!D112/Base_de_donnee_articles!G112)</f>
        <v>#DIV/0!</v>
      </c>
      <c r="G112" s="3" t="str">
        <f t="shared" si="1"/>
        <v/>
      </c>
    </row>
    <row r="113" spans="2:7" x14ac:dyDescent="0.35">
      <c r="B113" s="2" t="str">
        <f>IF(Base_de_donnee_articles!B113="","",Base_de_donnee_articles!B113)</f>
        <v/>
      </c>
      <c r="C113" s="2" t="str">
        <f>IF(Base_de_donnee_articles!C113="","",Base_de_donnee_articles!C113)</f>
        <v/>
      </c>
      <c r="D113" s="2" t="e">
        <f>IF(Inventaire!C113="","",Inventaire!C113/Base_de_donnee_articles!G113)</f>
        <v>#DIV/0!</v>
      </c>
      <c r="E113" s="2" t="str">
        <f>IF(B113="","",SUMIFS(Journal_entrees_et_sorties!D$8:D$400,Journal_entrees_et_sorties!C$8:C$400,C113))</f>
        <v/>
      </c>
      <c r="F113" s="2" t="e">
        <f>IF(Inventaire!D113="","",Inventaire!D113/Base_de_donnee_articles!G113)</f>
        <v>#DIV/0!</v>
      </c>
      <c r="G113" s="3" t="str">
        <f t="shared" si="1"/>
        <v/>
      </c>
    </row>
    <row r="114" spans="2:7" x14ac:dyDescent="0.35">
      <c r="B114" s="2" t="str">
        <f>IF(Base_de_donnee_articles!B114="","",Base_de_donnee_articles!B114)</f>
        <v/>
      </c>
      <c r="C114" s="2" t="str">
        <f>IF(Base_de_donnee_articles!C114="","",Base_de_donnee_articles!C114)</f>
        <v/>
      </c>
      <c r="D114" s="2" t="e">
        <f>IF(Inventaire!C114="","",Inventaire!C114/Base_de_donnee_articles!G114)</f>
        <v>#DIV/0!</v>
      </c>
      <c r="E114" s="2" t="str">
        <f>IF(B114="","",SUMIFS(Journal_entrees_et_sorties!D$8:D$400,Journal_entrees_et_sorties!C$8:C$400,C114))</f>
        <v/>
      </c>
      <c r="F114" s="2" t="e">
        <f>IF(Inventaire!D114="","",Inventaire!D114/Base_de_donnee_articles!G114)</f>
        <v>#DIV/0!</v>
      </c>
      <c r="G114" s="3" t="str">
        <f t="shared" si="1"/>
        <v/>
      </c>
    </row>
    <row r="115" spans="2:7" x14ac:dyDescent="0.35">
      <c r="B115" s="2" t="str">
        <f>IF(Base_de_donnee_articles!B115="","",Base_de_donnee_articles!B115)</f>
        <v/>
      </c>
      <c r="C115" s="2" t="str">
        <f>IF(Base_de_donnee_articles!C115="","",Base_de_donnee_articles!C115)</f>
        <v/>
      </c>
      <c r="D115" s="2" t="e">
        <f>IF(Inventaire!C115="","",Inventaire!C115/Base_de_donnee_articles!G115)</f>
        <v>#DIV/0!</v>
      </c>
      <c r="E115" s="2" t="str">
        <f>IF(B115="","",SUMIFS(Journal_entrees_et_sorties!D$8:D$400,Journal_entrees_et_sorties!C$8:C$400,C115))</f>
        <v/>
      </c>
      <c r="F115" s="2" t="e">
        <f>IF(Inventaire!D115="","",Inventaire!D115/Base_de_donnee_articles!G115)</f>
        <v>#DIV/0!</v>
      </c>
      <c r="G115" s="3" t="str">
        <f t="shared" si="1"/>
        <v/>
      </c>
    </row>
    <row r="116" spans="2:7" x14ac:dyDescent="0.35">
      <c r="B116" s="2" t="str">
        <f>IF(Base_de_donnee_articles!B116="","",Base_de_donnee_articles!B116)</f>
        <v/>
      </c>
      <c r="C116" s="2" t="str">
        <f>IF(Base_de_donnee_articles!C116="","",Base_de_donnee_articles!C116)</f>
        <v/>
      </c>
      <c r="D116" s="2" t="e">
        <f>IF(Inventaire!C116="","",Inventaire!C116/Base_de_donnee_articles!G116)</f>
        <v>#DIV/0!</v>
      </c>
      <c r="E116" s="2" t="str">
        <f>IF(B116="","",SUMIFS(Journal_entrees_et_sorties!D$8:D$400,Journal_entrees_et_sorties!C$8:C$400,C116))</f>
        <v/>
      </c>
      <c r="F116" s="2" t="e">
        <f>IF(Inventaire!D116="","",Inventaire!D116/Base_de_donnee_articles!G116)</f>
        <v>#DIV/0!</v>
      </c>
      <c r="G116" s="3" t="str">
        <f t="shared" si="1"/>
        <v/>
      </c>
    </row>
    <row r="117" spans="2:7" x14ac:dyDescent="0.35">
      <c r="B117" s="2" t="str">
        <f>IF(Base_de_donnee_articles!B117="","",Base_de_donnee_articles!B117)</f>
        <v/>
      </c>
      <c r="C117" s="2" t="str">
        <f>IF(Base_de_donnee_articles!C117="","",Base_de_donnee_articles!C117)</f>
        <v/>
      </c>
      <c r="D117" s="2" t="e">
        <f>IF(Inventaire!C117="","",Inventaire!C117/Base_de_donnee_articles!G117)</f>
        <v>#DIV/0!</v>
      </c>
      <c r="E117" s="2" t="str">
        <f>IF(B117="","",SUMIFS(Journal_entrees_et_sorties!D$8:D$400,Journal_entrees_et_sorties!C$8:C$400,C117))</f>
        <v/>
      </c>
      <c r="F117" s="2" t="e">
        <f>IF(Inventaire!D117="","",Inventaire!D117/Base_de_donnee_articles!G117)</f>
        <v>#DIV/0!</v>
      </c>
      <c r="G117" s="3" t="str">
        <f t="shared" si="1"/>
        <v/>
      </c>
    </row>
    <row r="118" spans="2:7" x14ac:dyDescent="0.35">
      <c r="B118" s="2" t="str">
        <f>IF(Base_de_donnee_articles!B118="","",Base_de_donnee_articles!B118)</f>
        <v/>
      </c>
      <c r="C118" s="2" t="str">
        <f>IF(Base_de_donnee_articles!C118="","",Base_de_donnee_articles!C118)</f>
        <v/>
      </c>
      <c r="D118" s="2" t="e">
        <f>IF(Inventaire!C118="","",Inventaire!C118/Base_de_donnee_articles!G118)</f>
        <v>#DIV/0!</v>
      </c>
      <c r="E118" s="2" t="str">
        <f>IF(B118="","",SUMIFS(Journal_entrees_et_sorties!D$8:D$400,Journal_entrees_et_sorties!C$8:C$400,C118))</f>
        <v/>
      </c>
      <c r="F118" s="2" t="e">
        <f>IF(Inventaire!D118="","",Inventaire!D118/Base_de_donnee_articles!G118)</f>
        <v>#DIV/0!</v>
      </c>
      <c r="G118" s="3" t="str">
        <f t="shared" si="1"/>
        <v/>
      </c>
    </row>
    <row r="119" spans="2:7" x14ac:dyDescent="0.35">
      <c r="B119" s="2" t="str">
        <f>IF(Base_de_donnee_articles!B119="","",Base_de_donnee_articles!B119)</f>
        <v/>
      </c>
      <c r="C119" s="2" t="str">
        <f>IF(Base_de_donnee_articles!C119="","",Base_de_donnee_articles!C119)</f>
        <v/>
      </c>
      <c r="D119" s="2" t="e">
        <f>IF(Inventaire!C119="","",Inventaire!C119/Base_de_donnee_articles!G119)</f>
        <v>#DIV/0!</v>
      </c>
      <c r="E119" s="2" t="str">
        <f>IF(B119="","",SUMIFS(Journal_entrees_et_sorties!D$8:D$400,Journal_entrees_et_sorties!C$8:C$400,C119))</f>
        <v/>
      </c>
      <c r="F119" s="2" t="e">
        <f>IF(Inventaire!D119="","",Inventaire!D119/Base_de_donnee_articles!G119)</f>
        <v>#DIV/0!</v>
      </c>
      <c r="G119" s="3" t="str">
        <f t="shared" si="1"/>
        <v/>
      </c>
    </row>
    <row r="120" spans="2:7" x14ac:dyDescent="0.35">
      <c r="B120" s="2" t="str">
        <f>IF(Base_de_donnee_articles!B120="","",Base_de_donnee_articles!B120)</f>
        <v/>
      </c>
      <c r="C120" s="2" t="str">
        <f>IF(Base_de_donnee_articles!C120="","",Base_de_donnee_articles!C120)</f>
        <v/>
      </c>
      <c r="D120" s="2" t="e">
        <f>IF(Inventaire!C120="","",Inventaire!C120/Base_de_donnee_articles!G120)</f>
        <v>#DIV/0!</v>
      </c>
      <c r="E120" s="2" t="str">
        <f>IF(B120="","",SUMIFS(Journal_entrees_et_sorties!D$8:D$400,Journal_entrees_et_sorties!C$8:C$400,C120))</f>
        <v/>
      </c>
      <c r="F120" s="2" t="e">
        <f>IF(Inventaire!D120="","",Inventaire!D120/Base_de_donnee_articles!G120)</f>
        <v>#DIV/0!</v>
      </c>
      <c r="G120" s="3" t="str">
        <f t="shared" si="1"/>
        <v/>
      </c>
    </row>
    <row r="121" spans="2:7" x14ac:dyDescent="0.35">
      <c r="B121" s="2" t="str">
        <f>IF(Base_de_donnee_articles!B121="","",Base_de_donnee_articles!B121)</f>
        <v/>
      </c>
      <c r="C121" s="2" t="str">
        <f>IF(Base_de_donnee_articles!C121="","",Base_de_donnee_articles!C121)</f>
        <v/>
      </c>
      <c r="D121" s="2" t="e">
        <f>IF(Inventaire!C121="","",Inventaire!C121/Base_de_donnee_articles!G121)</f>
        <v>#DIV/0!</v>
      </c>
      <c r="E121" s="2" t="str">
        <f>IF(B121="","",SUMIFS(Journal_entrees_et_sorties!D$8:D$400,Journal_entrees_et_sorties!C$8:C$400,C121))</f>
        <v/>
      </c>
      <c r="F121" s="2" t="e">
        <f>IF(Inventaire!D121="","",Inventaire!D121/Base_de_donnee_articles!G121)</f>
        <v>#DIV/0!</v>
      </c>
      <c r="G121" s="3" t="str">
        <f t="shared" si="1"/>
        <v/>
      </c>
    </row>
    <row r="122" spans="2:7" x14ac:dyDescent="0.35">
      <c r="B122" s="2" t="str">
        <f>IF(Base_de_donnee_articles!B122="","",Base_de_donnee_articles!B122)</f>
        <v/>
      </c>
      <c r="C122" s="2" t="str">
        <f>IF(Base_de_donnee_articles!C122="","",Base_de_donnee_articles!C122)</f>
        <v/>
      </c>
      <c r="D122" s="2" t="e">
        <f>IF(Inventaire!C122="","",Inventaire!C122/Base_de_donnee_articles!G122)</f>
        <v>#DIV/0!</v>
      </c>
      <c r="E122" s="2" t="str">
        <f>IF(B122="","",SUMIFS(Journal_entrees_et_sorties!D$8:D$400,Journal_entrees_et_sorties!C$8:C$400,C122))</f>
        <v/>
      </c>
      <c r="F122" s="2" t="e">
        <f>IF(Inventaire!D122="","",Inventaire!D122/Base_de_donnee_articles!G122)</f>
        <v>#DIV/0!</v>
      </c>
      <c r="G122" s="3" t="str">
        <f t="shared" si="1"/>
        <v/>
      </c>
    </row>
    <row r="123" spans="2:7" x14ac:dyDescent="0.35">
      <c r="B123" s="2" t="str">
        <f>IF(Base_de_donnee_articles!B123="","",Base_de_donnee_articles!B123)</f>
        <v/>
      </c>
      <c r="C123" s="2" t="str">
        <f>IF(Base_de_donnee_articles!C123="","",Base_de_donnee_articles!C123)</f>
        <v/>
      </c>
      <c r="D123" s="2" t="e">
        <f>IF(Inventaire!C123="","",Inventaire!C123/Base_de_donnee_articles!G123)</f>
        <v>#DIV/0!</v>
      </c>
      <c r="E123" s="2" t="str">
        <f>IF(B123="","",SUMIFS(Journal_entrees_et_sorties!D$8:D$400,Journal_entrees_et_sorties!C$8:C$400,C123))</f>
        <v/>
      </c>
      <c r="F123" s="2" t="e">
        <f>IF(Inventaire!D123="","",Inventaire!D123/Base_de_donnee_articles!G123)</f>
        <v>#DIV/0!</v>
      </c>
      <c r="G123" s="3" t="str">
        <f t="shared" si="1"/>
        <v/>
      </c>
    </row>
    <row r="124" spans="2:7" x14ac:dyDescent="0.35">
      <c r="B124" s="2" t="str">
        <f>IF(Base_de_donnee_articles!B124="","",Base_de_donnee_articles!B124)</f>
        <v/>
      </c>
      <c r="C124" s="2" t="str">
        <f>IF(Base_de_donnee_articles!C124="","",Base_de_donnee_articles!C124)</f>
        <v/>
      </c>
      <c r="D124" s="2" t="e">
        <f>IF(Inventaire!C124="","",Inventaire!C124/Base_de_donnee_articles!G124)</f>
        <v>#DIV/0!</v>
      </c>
      <c r="E124" s="2" t="str">
        <f>IF(B124="","",SUMIFS(Journal_entrees_et_sorties!D$8:D$400,Journal_entrees_et_sorties!C$8:C$400,C124))</f>
        <v/>
      </c>
      <c r="F124" s="2" t="e">
        <f>IF(Inventaire!D124="","",Inventaire!D124/Base_de_donnee_articles!G124)</f>
        <v>#DIV/0!</v>
      </c>
      <c r="G124" s="3" t="str">
        <f t="shared" si="1"/>
        <v/>
      </c>
    </row>
    <row r="125" spans="2:7" x14ac:dyDescent="0.35">
      <c r="B125" s="2" t="str">
        <f>IF(Base_de_donnee_articles!B125="","",Base_de_donnee_articles!B125)</f>
        <v/>
      </c>
      <c r="C125" s="2" t="str">
        <f>IF(Base_de_donnee_articles!C125="","",Base_de_donnee_articles!C125)</f>
        <v/>
      </c>
      <c r="D125" s="2" t="e">
        <f>IF(Inventaire!C125="","",Inventaire!C125/Base_de_donnee_articles!G125)</f>
        <v>#DIV/0!</v>
      </c>
      <c r="E125" s="2" t="str">
        <f>IF(B125="","",SUMIFS(Journal_entrees_et_sorties!D$8:D$400,Journal_entrees_et_sorties!C$8:C$400,C125))</f>
        <v/>
      </c>
      <c r="F125" s="2" t="e">
        <f>IF(Inventaire!D125="","",Inventaire!D125/Base_de_donnee_articles!G125)</f>
        <v>#DIV/0!</v>
      </c>
      <c r="G125" s="3" t="str">
        <f t="shared" si="1"/>
        <v/>
      </c>
    </row>
    <row r="126" spans="2:7" x14ac:dyDescent="0.35">
      <c r="B126" s="2" t="str">
        <f>IF(Base_de_donnee_articles!B126="","",Base_de_donnee_articles!B126)</f>
        <v/>
      </c>
      <c r="C126" s="2" t="str">
        <f>IF(Base_de_donnee_articles!C126="","",Base_de_donnee_articles!C126)</f>
        <v/>
      </c>
      <c r="D126" s="2" t="e">
        <f>IF(Inventaire!C126="","",Inventaire!C126/Base_de_donnee_articles!G126)</f>
        <v>#DIV/0!</v>
      </c>
      <c r="E126" s="2" t="str">
        <f>IF(B126="","",SUMIFS(Journal_entrees_et_sorties!D$8:D$400,Journal_entrees_et_sorties!C$8:C$400,C126))</f>
        <v/>
      </c>
      <c r="F126" s="2" t="e">
        <f>IF(Inventaire!D126="","",Inventaire!D126/Base_de_donnee_articles!G126)</f>
        <v>#DIV/0!</v>
      </c>
      <c r="G126" s="3" t="str">
        <f t="shared" si="1"/>
        <v/>
      </c>
    </row>
    <row r="127" spans="2:7" x14ac:dyDescent="0.35">
      <c r="B127" s="2" t="str">
        <f>IF(Base_de_donnee_articles!B127="","",Base_de_donnee_articles!B127)</f>
        <v/>
      </c>
      <c r="C127" s="2" t="str">
        <f>IF(Base_de_donnee_articles!C127="","",Base_de_donnee_articles!C127)</f>
        <v/>
      </c>
      <c r="D127" s="2" t="e">
        <f>IF(Inventaire!C127="","",Inventaire!C127/Base_de_donnee_articles!G127)</f>
        <v>#DIV/0!</v>
      </c>
      <c r="E127" s="2" t="str">
        <f>IF(B127="","",SUMIFS(Journal_entrees_et_sorties!D$8:D$400,Journal_entrees_et_sorties!C$8:C$400,C127))</f>
        <v/>
      </c>
      <c r="F127" s="2" t="e">
        <f>IF(Inventaire!D127="","",Inventaire!D127/Base_de_donnee_articles!G127)</f>
        <v>#DIV/0!</v>
      </c>
      <c r="G127" s="3" t="str">
        <f t="shared" si="1"/>
        <v/>
      </c>
    </row>
    <row r="128" spans="2:7" x14ac:dyDescent="0.35">
      <c r="B128" s="2" t="str">
        <f>IF(Base_de_donnee_articles!B128="","",Base_de_donnee_articles!B128)</f>
        <v/>
      </c>
      <c r="C128" s="2" t="str">
        <f>IF(Base_de_donnee_articles!C128="","",Base_de_donnee_articles!C128)</f>
        <v/>
      </c>
      <c r="D128" s="2" t="e">
        <f>IF(Inventaire!C128="","",Inventaire!C128/Base_de_donnee_articles!G128)</f>
        <v>#DIV/0!</v>
      </c>
      <c r="E128" s="2" t="str">
        <f>IF(B128="","",SUMIFS(Journal_entrees_et_sorties!D$8:D$400,Journal_entrees_et_sorties!C$8:C$400,C128))</f>
        <v/>
      </c>
      <c r="F128" s="2" t="e">
        <f>IF(Inventaire!D128="","",Inventaire!D128/Base_de_donnee_articles!G128)</f>
        <v>#DIV/0!</v>
      </c>
      <c r="G128" s="3" t="str">
        <f t="shared" si="1"/>
        <v/>
      </c>
    </row>
    <row r="129" spans="2:7" x14ac:dyDescent="0.35">
      <c r="B129" s="2" t="str">
        <f>IF(Base_de_donnee_articles!B129="","",Base_de_donnee_articles!B129)</f>
        <v/>
      </c>
      <c r="C129" s="2" t="str">
        <f>IF(Base_de_donnee_articles!C129="","",Base_de_donnee_articles!C129)</f>
        <v/>
      </c>
      <c r="D129" s="2" t="e">
        <f>IF(Inventaire!C129="","",Inventaire!C129/Base_de_donnee_articles!G129)</f>
        <v>#DIV/0!</v>
      </c>
      <c r="E129" s="2" t="str">
        <f>IF(B129="","",SUMIFS(Journal_entrees_et_sorties!D$8:D$400,Journal_entrees_et_sorties!C$8:C$400,C129))</f>
        <v/>
      </c>
      <c r="F129" s="2" t="e">
        <f>IF(Inventaire!D129="","",Inventaire!D129/Base_de_donnee_articles!G129)</f>
        <v>#DIV/0!</v>
      </c>
      <c r="G129" s="3" t="str">
        <f t="shared" si="1"/>
        <v/>
      </c>
    </row>
    <row r="130" spans="2:7" x14ac:dyDescent="0.35">
      <c r="B130" s="2" t="str">
        <f>IF(Base_de_donnee_articles!B130="","",Base_de_donnee_articles!B130)</f>
        <v/>
      </c>
      <c r="C130" s="2" t="str">
        <f>IF(Base_de_donnee_articles!C130="","",Base_de_donnee_articles!C130)</f>
        <v/>
      </c>
      <c r="D130" s="2" t="e">
        <f>IF(Inventaire!C130="","",Inventaire!C130/Base_de_donnee_articles!G130)</f>
        <v>#DIV/0!</v>
      </c>
      <c r="E130" s="2" t="str">
        <f>IF(B130="","",SUMIFS(Journal_entrees_et_sorties!D$8:D$400,Journal_entrees_et_sorties!C$8:C$400,C130))</f>
        <v/>
      </c>
      <c r="F130" s="2" t="e">
        <f>IF(Inventaire!D130="","",Inventaire!D130/Base_de_donnee_articles!G130)</f>
        <v>#DIV/0!</v>
      </c>
      <c r="G130" s="3" t="str">
        <f t="shared" si="1"/>
        <v/>
      </c>
    </row>
    <row r="131" spans="2:7" x14ac:dyDescent="0.35">
      <c r="B131" s="2" t="str">
        <f>IF(Base_de_donnee_articles!B131="","",Base_de_donnee_articles!B131)</f>
        <v/>
      </c>
      <c r="C131" s="2" t="str">
        <f>IF(Base_de_donnee_articles!C131="","",Base_de_donnee_articles!C131)</f>
        <v/>
      </c>
      <c r="D131" s="2" t="e">
        <f>IF(Inventaire!C131="","",Inventaire!C131/Base_de_donnee_articles!G131)</f>
        <v>#DIV/0!</v>
      </c>
      <c r="E131" s="2" t="str">
        <f>IF(B131="","",SUMIFS(Journal_entrees_et_sorties!D$8:D$400,Journal_entrees_et_sorties!C$8:C$400,C131))</f>
        <v/>
      </c>
      <c r="F131" s="2" t="e">
        <f>IF(Inventaire!D131="","",Inventaire!D131/Base_de_donnee_articles!G131)</f>
        <v>#DIV/0!</v>
      </c>
      <c r="G131" s="3" t="str">
        <f t="shared" si="1"/>
        <v/>
      </c>
    </row>
    <row r="132" spans="2:7" x14ac:dyDescent="0.35">
      <c r="B132" s="2" t="str">
        <f>IF(Base_de_donnee_articles!B132="","",Base_de_donnee_articles!B132)</f>
        <v/>
      </c>
      <c r="C132" s="2" t="str">
        <f>IF(Base_de_donnee_articles!C132="","",Base_de_donnee_articles!C132)</f>
        <v/>
      </c>
      <c r="D132" s="2" t="e">
        <f>IF(Inventaire!C132="","",Inventaire!C132/Base_de_donnee_articles!G132)</f>
        <v>#DIV/0!</v>
      </c>
      <c r="E132" s="2" t="str">
        <f>IF(B132="","",SUMIFS(Journal_entrees_et_sorties!D$8:D$400,Journal_entrees_et_sorties!C$8:C$400,C132))</f>
        <v/>
      </c>
      <c r="F132" s="2" t="e">
        <f>IF(Inventaire!D132="","",Inventaire!D132/Base_de_donnee_articles!G132)</f>
        <v>#DIV/0!</v>
      </c>
      <c r="G132" s="3" t="str">
        <f t="shared" si="1"/>
        <v/>
      </c>
    </row>
    <row r="133" spans="2:7" x14ac:dyDescent="0.35">
      <c r="B133" s="2" t="str">
        <f>IF(Base_de_donnee_articles!B133="","",Base_de_donnee_articles!B133)</f>
        <v/>
      </c>
      <c r="C133" s="2" t="str">
        <f>IF(Base_de_donnee_articles!C133="","",Base_de_donnee_articles!C133)</f>
        <v/>
      </c>
      <c r="D133" s="2" t="e">
        <f>IF(Inventaire!C133="","",Inventaire!C133/Base_de_donnee_articles!G133)</f>
        <v>#DIV/0!</v>
      </c>
      <c r="E133" s="2" t="str">
        <f>IF(B133="","",SUMIFS(Journal_entrees_et_sorties!D$8:D$400,Journal_entrees_et_sorties!C$8:C$400,C133))</f>
        <v/>
      </c>
      <c r="F133" s="2" t="e">
        <f>IF(Inventaire!D133="","",Inventaire!D133/Base_de_donnee_articles!G133)</f>
        <v>#DIV/0!</v>
      </c>
      <c r="G133" s="3" t="str">
        <f t="shared" si="1"/>
        <v/>
      </c>
    </row>
    <row r="134" spans="2:7" x14ac:dyDescent="0.35">
      <c r="B134" s="2" t="str">
        <f>IF(Base_de_donnee_articles!B134="","",Base_de_donnee_articles!B134)</f>
        <v/>
      </c>
      <c r="C134" s="2" t="str">
        <f>IF(Base_de_donnee_articles!C134="","",Base_de_donnee_articles!C134)</f>
        <v/>
      </c>
      <c r="D134" s="2" t="e">
        <f>IF(Inventaire!C134="","",Inventaire!C134/Base_de_donnee_articles!G134)</f>
        <v>#DIV/0!</v>
      </c>
      <c r="E134" s="2" t="str">
        <f>IF(B134="","",SUMIFS(Journal_entrees_et_sorties!D$8:D$400,Journal_entrees_et_sorties!C$8:C$400,C134))</f>
        <v/>
      </c>
      <c r="F134" s="2" t="e">
        <f>IF(Inventaire!D134="","",Inventaire!D134/Base_de_donnee_articles!G134)</f>
        <v>#DIV/0!</v>
      </c>
      <c r="G134" s="3" t="str">
        <f t="shared" si="1"/>
        <v/>
      </c>
    </row>
    <row r="135" spans="2:7" x14ac:dyDescent="0.35">
      <c r="B135" s="2" t="str">
        <f>IF(Base_de_donnee_articles!B135="","",Base_de_donnee_articles!B135)</f>
        <v/>
      </c>
      <c r="C135" s="2" t="str">
        <f>IF(Base_de_donnee_articles!C135="","",Base_de_donnee_articles!C135)</f>
        <v/>
      </c>
      <c r="D135" s="2" t="e">
        <f>IF(Inventaire!C135="","",Inventaire!C135/Base_de_donnee_articles!G135)</f>
        <v>#DIV/0!</v>
      </c>
      <c r="E135" s="2" t="str">
        <f>IF(B135="","",SUMIFS(Journal_entrees_et_sorties!D$8:D$400,Journal_entrees_et_sorties!C$8:C$400,C135))</f>
        <v/>
      </c>
      <c r="F135" s="2" t="e">
        <f>IF(Inventaire!D135="","",Inventaire!D135/Base_de_donnee_articles!G135)</f>
        <v>#DIV/0!</v>
      </c>
      <c r="G135" s="3" t="str">
        <f t="shared" si="1"/>
        <v/>
      </c>
    </row>
    <row r="136" spans="2:7" x14ac:dyDescent="0.35">
      <c r="B136" s="2" t="str">
        <f>IF(Base_de_donnee_articles!B136="","",Base_de_donnee_articles!B136)</f>
        <v/>
      </c>
      <c r="C136" s="2" t="str">
        <f>IF(Base_de_donnee_articles!C136="","",Base_de_donnee_articles!C136)</f>
        <v/>
      </c>
      <c r="D136" s="2" t="e">
        <f>IF(Inventaire!C136="","",Inventaire!C136/Base_de_donnee_articles!G136)</f>
        <v>#DIV/0!</v>
      </c>
      <c r="E136" s="2" t="str">
        <f>IF(B136="","",SUMIFS(Journal_entrees_et_sorties!D$8:D$400,Journal_entrees_et_sorties!C$8:C$400,C136))</f>
        <v/>
      </c>
      <c r="F136" s="2" t="e">
        <f>IF(Inventaire!D136="","",Inventaire!D136/Base_de_donnee_articles!G136)</f>
        <v>#DIV/0!</v>
      </c>
      <c r="G136" s="3" t="str">
        <f t="shared" si="1"/>
        <v/>
      </c>
    </row>
    <row r="137" spans="2:7" x14ac:dyDescent="0.35">
      <c r="B137" s="2" t="str">
        <f>IF(Base_de_donnee_articles!B137="","",Base_de_donnee_articles!B137)</f>
        <v/>
      </c>
      <c r="C137" s="2" t="str">
        <f>IF(Base_de_donnee_articles!C137="","",Base_de_donnee_articles!C137)</f>
        <v/>
      </c>
      <c r="D137" s="2" t="e">
        <f>IF(Inventaire!C137="","",Inventaire!C137/Base_de_donnee_articles!G137)</f>
        <v>#DIV/0!</v>
      </c>
      <c r="E137" s="2" t="str">
        <f>IF(B137="","",SUMIFS(Journal_entrees_et_sorties!D$8:D$400,Journal_entrees_et_sorties!C$8:C$400,C137))</f>
        <v/>
      </c>
      <c r="F137" s="2" t="e">
        <f>IF(Inventaire!D137="","",Inventaire!D137/Base_de_donnee_articles!G137)</f>
        <v>#DIV/0!</v>
      </c>
      <c r="G137" s="3" t="str">
        <f t="shared" ref="G137:G200" si="2">IF(C137="","",D137+E137-F137)</f>
        <v/>
      </c>
    </row>
    <row r="138" spans="2:7" x14ac:dyDescent="0.35">
      <c r="B138" s="2" t="str">
        <f>IF(Base_de_donnee_articles!B138="","",Base_de_donnee_articles!B138)</f>
        <v/>
      </c>
      <c r="C138" s="2" t="str">
        <f>IF(Base_de_donnee_articles!C138="","",Base_de_donnee_articles!C138)</f>
        <v/>
      </c>
      <c r="D138" s="2" t="e">
        <f>IF(Inventaire!C138="","",Inventaire!C138/Base_de_donnee_articles!G138)</f>
        <v>#DIV/0!</v>
      </c>
      <c r="E138" s="2" t="str">
        <f>IF(B138="","",SUMIFS(Journal_entrees_et_sorties!D$8:D$400,Journal_entrees_et_sorties!C$8:C$400,C138))</f>
        <v/>
      </c>
      <c r="F138" s="2" t="e">
        <f>IF(Inventaire!D138="","",Inventaire!D138/Base_de_donnee_articles!G138)</f>
        <v>#DIV/0!</v>
      </c>
      <c r="G138" s="3" t="str">
        <f t="shared" si="2"/>
        <v/>
      </c>
    </row>
    <row r="139" spans="2:7" x14ac:dyDescent="0.35">
      <c r="B139" s="2" t="str">
        <f>IF(Base_de_donnee_articles!B139="","",Base_de_donnee_articles!B139)</f>
        <v/>
      </c>
      <c r="C139" s="2" t="str">
        <f>IF(Base_de_donnee_articles!C139="","",Base_de_donnee_articles!C139)</f>
        <v/>
      </c>
      <c r="D139" s="2" t="e">
        <f>IF(Inventaire!C139="","",Inventaire!C139/Base_de_donnee_articles!G139)</f>
        <v>#DIV/0!</v>
      </c>
      <c r="E139" s="2" t="str">
        <f>IF(B139="","",SUMIFS(Journal_entrees_et_sorties!D$8:D$400,Journal_entrees_et_sorties!C$8:C$400,C139))</f>
        <v/>
      </c>
      <c r="F139" s="2" t="e">
        <f>IF(Inventaire!D139="","",Inventaire!D139/Base_de_donnee_articles!G139)</f>
        <v>#DIV/0!</v>
      </c>
      <c r="G139" s="3" t="str">
        <f t="shared" si="2"/>
        <v/>
      </c>
    </row>
    <row r="140" spans="2:7" x14ac:dyDescent="0.35">
      <c r="B140" s="2" t="str">
        <f>IF(Base_de_donnee_articles!B140="","",Base_de_donnee_articles!B140)</f>
        <v/>
      </c>
      <c r="C140" s="2" t="str">
        <f>IF(Base_de_donnee_articles!C140="","",Base_de_donnee_articles!C140)</f>
        <v/>
      </c>
      <c r="D140" s="2" t="e">
        <f>IF(Inventaire!C140="","",Inventaire!C140/Base_de_donnee_articles!G140)</f>
        <v>#DIV/0!</v>
      </c>
      <c r="E140" s="2" t="str">
        <f>IF(B140="","",SUMIFS(Journal_entrees_et_sorties!D$8:D$400,Journal_entrees_et_sorties!C$8:C$400,C140))</f>
        <v/>
      </c>
      <c r="F140" s="2" t="e">
        <f>IF(Inventaire!D140="","",Inventaire!D140/Base_de_donnee_articles!G140)</f>
        <v>#DIV/0!</v>
      </c>
      <c r="G140" s="3" t="str">
        <f t="shared" si="2"/>
        <v/>
      </c>
    </row>
    <row r="141" spans="2:7" x14ac:dyDescent="0.35">
      <c r="B141" s="2" t="str">
        <f>IF(Base_de_donnee_articles!B141="","",Base_de_donnee_articles!B141)</f>
        <v/>
      </c>
      <c r="C141" s="2" t="str">
        <f>IF(Base_de_donnee_articles!C141="","",Base_de_donnee_articles!C141)</f>
        <v/>
      </c>
      <c r="D141" s="2" t="e">
        <f>IF(Inventaire!C141="","",Inventaire!C141/Base_de_donnee_articles!G141)</f>
        <v>#DIV/0!</v>
      </c>
      <c r="E141" s="2" t="str">
        <f>IF(B141="","",SUMIFS(Journal_entrees_et_sorties!D$8:D$400,Journal_entrees_et_sorties!C$8:C$400,C141))</f>
        <v/>
      </c>
      <c r="F141" s="2" t="e">
        <f>IF(Inventaire!D141="","",Inventaire!D141/Base_de_donnee_articles!G141)</f>
        <v>#DIV/0!</v>
      </c>
      <c r="G141" s="3" t="str">
        <f t="shared" si="2"/>
        <v/>
      </c>
    </row>
    <row r="142" spans="2:7" x14ac:dyDescent="0.35">
      <c r="B142" s="2" t="str">
        <f>IF(Base_de_donnee_articles!B142="","",Base_de_donnee_articles!B142)</f>
        <v/>
      </c>
      <c r="C142" s="2" t="str">
        <f>IF(Base_de_donnee_articles!C142="","",Base_de_donnee_articles!C142)</f>
        <v/>
      </c>
      <c r="D142" s="2" t="e">
        <f>IF(Inventaire!C142="","",Inventaire!C142/Base_de_donnee_articles!G142)</f>
        <v>#DIV/0!</v>
      </c>
      <c r="E142" s="2" t="str">
        <f>IF(B142="","",SUMIFS(Journal_entrees_et_sorties!D$8:D$400,Journal_entrees_et_sorties!C$8:C$400,C142))</f>
        <v/>
      </c>
      <c r="F142" s="2" t="e">
        <f>IF(Inventaire!D142="","",Inventaire!D142/Base_de_donnee_articles!G142)</f>
        <v>#DIV/0!</v>
      </c>
      <c r="G142" s="3" t="str">
        <f t="shared" si="2"/>
        <v/>
      </c>
    </row>
    <row r="143" spans="2:7" x14ac:dyDescent="0.35">
      <c r="B143" s="2" t="str">
        <f>IF(Base_de_donnee_articles!B143="","",Base_de_donnee_articles!B143)</f>
        <v/>
      </c>
      <c r="C143" s="2" t="str">
        <f>IF(Base_de_donnee_articles!C143="","",Base_de_donnee_articles!C143)</f>
        <v/>
      </c>
      <c r="D143" s="2" t="e">
        <f>IF(Inventaire!C143="","",Inventaire!C143/Base_de_donnee_articles!G143)</f>
        <v>#DIV/0!</v>
      </c>
      <c r="E143" s="2" t="str">
        <f>IF(B143="","",SUMIFS(Journal_entrees_et_sorties!D$8:D$400,Journal_entrees_et_sorties!C$8:C$400,C143))</f>
        <v/>
      </c>
      <c r="F143" s="2" t="e">
        <f>IF(Inventaire!D143="","",Inventaire!D143/Base_de_donnee_articles!G143)</f>
        <v>#DIV/0!</v>
      </c>
      <c r="G143" s="3" t="str">
        <f t="shared" si="2"/>
        <v/>
      </c>
    </row>
    <row r="144" spans="2:7" x14ac:dyDescent="0.35">
      <c r="B144" s="2" t="str">
        <f>IF(Base_de_donnee_articles!B144="","",Base_de_donnee_articles!B144)</f>
        <v/>
      </c>
      <c r="C144" s="2" t="str">
        <f>IF(Base_de_donnee_articles!C144="","",Base_de_donnee_articles!C144)</f>
        <v/>
      </c>
      <c r="D144" s="2" t="e">
        <f>IF(Inventaire!C144="","",Inventaire!C144/Base_de_donnee_articles!G144)</f>
        <v>#DIV/0!</v>
      </c>
      <c r="E144" s="2" t="str">
        <f>IF(B144="","",SUMIFS(Journal_entrees_et_sorties!D$8:D$400,Journal_entrees_et_sorties!C$8:C$400,C144))</f>
        <v/>
      </c>
      <c r="F144" s="2" t="e">
        <f>IF(Inventaire!D144="","",Inventaire!D144/Base_de_donnee_articles!G144)</f>
        <v>#DIV/0!</v>
      </c>
      <c r="G144" s="3" t="str">
        <f t="shared" si="2"/>
        <v/>
      </c>
    </row>
    <row r="145" spans="2:7" x14ac:dyDescent="0.35">
      <c r="B145" s="2" t="str">
        <f>IF(Base_de_donnee_articles!B145="","",Base_de_donnee_articles!B145)</f>
        <v/>
      </c>
      <c r="C145" s="2" t="str">
        <f>IF(Base_de_donnee_articles!C145="","",Base_de_donnee_articles!C145)</f>
        <v/>
      </c>
      <c r="D145" s="2" t="e">
        <f>IF(Inventaire!C145="","",Inventaire!C145/Base_de_donnee_articles!G145)</f>
        <v>#DIV/0!</v>
      </c>
      <c r="E145" s="2" t="str">
        <f>IF(B145="","",SUMIFS(Journal_entrees_et_sorties!D$8:D$400,Journal_entrees_et_sorties!C$8:C$400,C145))</f>
        <v/>
      </c>
      <c r="F145" s="2" t="e">
        <f>IF(Inventaire!D145="","",Inventaire!D145/Base_de_donnee_articles!G145)</f>
        <v>#DIV/0!</v>
      </c>
      <c r="G145" s="3" t="str">
        <f t="shared" si="2"/>
        <v/>
      </c>
    </row>
    <row r="146" spans="2:7" x14ac:dyDescent="0.35">
      <c r="B146" s="2" t="str">
        <f>IF(Base_de_donnee_articles!B146="","",Base_de_donnee_articles!B146)</f>
        <v/>
      </c>
      <c r="C146" s="2" t="str">
        <f>IF(Base_de_donnee_articles!C146="","",Base_de_donnee_articles!C146)</f>
        <v/>
      </c>
      <c r="D146" s="2" t="e">
        <f>IF(Inventaire!C146="","",Inventaire!C146/Base_de_donnee_articles!G146)</f>
        <v>#DIV/0!</v>
      </c>
      <c r="E146" s="2" t="str">
        <f>IF(B146="","",SUMIFS(Journal_entrees_et_sorties!D$8:D$400,Journal_entrees_et_sorties!C$8:C$400,C146))</f>
        <v/>
      </c>
      <c r="F146" s="2" t="e">
        <f>IF(Inventaire!D146="","",Inventaire!D146/Base_de_donnee_articles!G146)</f>
        <v>#DIV/0!</v>
      </c>
      <c r="G146" s="3" t="str">
        <f t="shared" si="2"/>
        <v/>
      </c>
    </row>
    <row r="147" spans="2:7" x14ac:dyDescent="0.35">
      <c r="B147" s="2" t="str">
        <f>IF(Base_de_donnee_articles!B147="","",Base_de_donnee_articles!B147)</f>
        <v/>
      </c>
      <c r="C147" s="2" t="str">
        <f>IF(Base_de_donnee_articles!C147="","",Base_de_donnee_articles!C147)</f>
        <v/>
      </c>
      <c r="D147" s="2" t="e">
        <f>IF(Inventaire!C147="","",Inventaire!C147/Base_de_donnee_articles!G147)</f>
        <v>#DIV/0!</v>
      </c>
      <c r="E147" s="2" t="str">
        <f>IF(B147="","",SUMIFS(Journal_entrees_et_sorties!D$8:D$400,Journal_entrees_et_sorties!C$8:C$400,C147))</f>
        <v/>
      </c>
      <c r="F147" s="2" t="e">
        <f>IF(Inventaire!D147="","",Inventaire!D147/Base_de_donnee_articles!G147)</f>
        <v>#DIV/0!</v>
      </c>
      <c r="G147" s="3" t="str">
        <f t="shared" si="2"/>
        <v/>
      </c>
    </row>
    <row r="148" spans="2:7" x14ac:dyDescent="0.35">
      <c r="B148" s="2" t="str">
        <f>IF(Base_de_donnee_articles!B148="","",Base_de_donnee_articles!B148)</f>
        <v/>
      </c>
      <c r="C148" s="2" t="str">
        <f>IF(Base_de_donnee_articles!C148="","",Base_de_donnee_articles!C148)</f>
        <v/>
      </c>
      <c r="D148" s="2" t="e">
        <f>IF(Inventaire!C148="","",Inventaire!C148/Base_de_donnee_articles!G148)</f>
        <v>#DIV/0!</v>
      </c>
      <c r="E148" s="2" t="str">
        <f>IF(B148="","",SUMIFS(Journal_entrees_et_sorties!D$8:D$400,Journal_entrees_et_sorties!C$8:C$400,C148))</f>
        <v/>
      </c>
      <c r="F148" s="2" t="e">
        <f>IF(Inventaire!D148="","",Inventaire!D148/Base_de_donnee_articles!G148)</f>
        <v>#DIV/0!</v>
      </c>
      <c r="G148" s="3" t="str">
        <f t="shared" si="2"/>
        <v/>
      </c>
    </row>
    <row r="149" spans="2:7" x14ac:dyDescent="0.35">
      <c r="B149" s="2" t="str">
        <f>IF(Base_de_donnee_articles!B149="","",Base_de_donnee_articles!B149)</f>
        <v/>
      </c>
      <c r="C149" s="2" t="str">
        <f>IF(Base_de_donnee_articles!C149="","",Base_de_donnee_articles!C149)</f>
        <v/>
      </c>
      <c r="D149" s="2" t="e">
        <f>IF(Inventaire!C149="","",Inventaire!C149/Base_de_donnee_articles!G149)</f>
        <v>#DIV/0!</v>
      </c>
      <c r="E149" s="2" t="str">
        <f>IF(B149="","",SUMIFS(Journal_entrees_et_sorties!D$8:D$400,Journal_entrees_et_sorties!C$8:C$400,C149))</f>
        <v/>
      </c>
      <c r="F149" s="2" t="e">
        <f>IF(Inventaire!D149="","",Inventaire!D149/Base_de_donnee_articles!G149)</f>
        <v>#DIV/0!</v>
      </c>
      <c r="G149" s="3" t="str">
        <f t="shared" si="2"/>
        <v/>
      </c>
    </row>
    <row r="150" spans="2:7" x14ac:dyDescent="0.35">
      <c r="B150" s="2" t="str">
        <f>IF(Base_de_donnee_articles!B150="","",Base_de_donnee_articles!B150)</f>
        <v/>
      </c>
      <c r="C150" s="2" t="str">
        <f>IF(Base_de_donnee_articles!C150="","",Base_de_donnee_articles!C150)</f>
        <v/>
      </c>
      <c r="D150" s="2" t="e">
        <f>IF(Inventaire!C150="","",Inventaire!C150/Base_de_donnee_articles!G150)</f>
        <v>#DIV/0!</v>
      </c>
      <c r="E150" s="2" t="str">
        <f>IF(B150="","",SUMIFS(Journal_entrees_et_sorties!D$8:D$400,Journal_entrees_et_sorties!C$8:C$400,C150))</f>
        <v/>
      </c>
      <c r="F150" s="2" t="e">
        <f>IF(Inventaire!D150="","",Inventaire!D150/Base_de_donnee_articles!G150)</f>
        <v>#DIV/0!</v>
      </c>
      <c r="G150" s="3" t="str">
        <f t="shared" si="2"/>
        <v/>
      </c>
    </row>
    <row r="151" spans="2:7" x14ac:dyDescent="0.35">
      <c r="B151" s="2" t="str">
        <f>IF(Base_de_donnee_articles!B151="","",Base_de_donnee_articles!B151)</f>
        <v/>
      </c>
      <c r="C151" s="2" t="str">
        <f>IF(Base_de_donnee_articles!C151="","",Base_de_donnee_articles!C151)</f>
        <v/>
      </c>
      <c r="D151" s="2" t="e">
        <f>IF(Inventaire!C151="","",Inventaire!C151/Base_de_donnee_articles!G151)</f>
        <v>#DIV/0!</v>
      </c>
      <c r="E151" s="2" t="str">
        <f>IF(B151="","",SUMIFS(Journal_entrees_et_sorties!D$8:D$400,Journal_entrees_et_sorties!C$8:C$400,C151))</f>
        <v/>
      </c>
      <c r="F151" s="2" t="e">
        <f>IF(Inventaire!D151="","",Inventaire!D151/Base_de_donnee_articles!G151)</f>
        <v>#DIV/0!</v>
      </c>
      <c r="G151" s="3" t="str">
        <f t="shared" si="2"/>
        <v/>
      </c>
    </row>
    <row r="152" spans="2:7" x14ac:dyDescent="0.35">
      <c r="B152" s="2" t="str">
        <f>IF(Base_de_donnee_articles!B152="","",Base_de_donnee_articles!B152)</f>
        <v/>
      </c>
      <c r="C152" s="2" t="str">
        <f>IF(Base_de_donnee_articles!C152="","",Base_de_donnee_articles!C152)</f>
        <v/>
      </c>
      <c r="D152" s="2" t="e">
        <f>IF(Inventaire!C152="","",Inventaire!C152/Base_de_donnee_articles!G152)</f>
        <v>#DIV/0!</v>
      </c>
      <c r="E152" s="2" t="str">
        <f>IF(B152="","",SUMIFS(Journal_entrees_et_sorties!D$8:D$400,Journal_entrees_et_sorties!C$8:C$400,C152))</f>
        <v/>
      </c>
      <c r="F152" s="2" t="e">
        <f>IF(Inventaire!D152="","",Inventaire!D152/Base_de_donnee_articles!G152)</f>
        <v>#DIV/0!</v>
      </c>
      <c r="G152" s="3" t="str">
        <f t="shared" si="2"/>
        <v/>
      </c>
    </row>
    <row r="153" spans="2:7" x14ac:dyDescent="0.35">
      <c r="B153" s="2" t="str">
        <f>IF(Base_de_donnee_articles!B153="","",Base_de_donnee_articles!B153)</f>
        <v/>
      </c>
      <c r="C153" s="2" t="str">
        <f>IF(Base_de_donnee_articles!C153="","",Base_de_donnee_articles!C153)</f>
        <v/>
      </c>
      <c r="D153" s="2" t="e">
        <f>IF(Inventaire!C153="","",Inventaire!C153/Base_de_donnee_articles!G153)</f>
        <v>#DIV/0!</v>
      </c>
      <c r="E153" s="2" t="str">
        <f>IF(B153="","",SUMIFS(Journal_entrees_et_sorties!D$8:D$400,Journal_entrees_et_sorties!C$8:C$400,C153))</f>
        <v/>
      </c>
      <c r="F153" s="2" t="e">
        <f>IF(Inventaire!D153="","",Inventaire!D153/Base_de_donnee_articles!G153)</f>
        <v>#DIV/0!</v>
      </c>
      <c r="G153" s="3" t="str">
        <f t="shared" si="2"/>
        <v/>
      </c>
    </row>
    <row r="154" spans="2:7" x14ac:dyDescent="0.35">
      <c r="B154" s="2" t="str">
        <f>IF(Base_de_donnee_articles!B154="","",Base_de_donnee_articles!B154)</f>
        <v/>
      </c>
      <c r="C154" s="2" t="str">
        <f>IF(Base_de_donnee_articles!C154="","",Base_de_donnee_articles!C154)</f>
        <v/>
      </c>
      <c r="D154" s="2" t="e">
        <f>IF(Inventaire!C154="","",Inventaire!C154/Base_de_donnee_articles!G154)</f>
        <v>#DIV/0!</v>
      </c>
      <c r="E154" s="2" t="str">
        <f>IF(B154="","",SUMIFS(Journal_entrees_et_sorties!D$8:D$400,Journal_entrees_et_sorties!C$8:C$400,C154))</f>
        <v/>
      </c>
      <c r="F154" s="2" t="e">
        <f>IF(Inventaire!D154="","",Inventaire!D154/Base_de_donnee_articles!G154)</f>
        <v>#DIV/0!</v>
      </c>
      <c r="G154" s="3" t="str">
        <f t="shared" si="2"/>
        <v/>
      </c>
    </row>
    <row r="155" spans="2:7" x14ac:dyDescent="0.35">
      <c r="B155" s="2" t="str">
        <f>IF(Base_de_donnee_articles!B155="","",Base_de_donnee_articles!B155)</f>
        <v/>
      </c>
      <c r="C155" s="2" t="str">
        <f>IF(Base_de_donnee_articles!C155="","",Base_de_donnee_articles!C155)</f>
        <v/>
      </c>
      <c r="D155" s="2" t="e">
        <f>IF(Inventaire!C155="","",Inventaire!C155/Base_de_donnee_articles!G155)</f>
        <v>#DIV/0!</v>
      </c>
      <c r="E155" s="2" t="str">
        <f>IF(B155="","",SUMIFS(Journal_entrees_et_sorties!D$8:D$400,Journal_entrees_et_sorties!C$8:C$400,C155))</f>
        <v/>
      </c>
      <c r="F155" s="2" t="e">
        <f>IF(Inventaire!D155="","",Inventaire!D155/Base_de_donnee_articles!G155)</f>
        <v>#DIV/0!</v>
      </c>
      <c r="G155" s="3" t="str">
        <f t="shared" si="2"/>
        <v/>
      </c>
    </row>
    <row r="156" spans="2:7" x14ac:dyDescent="0.35">
      <c r="B156" s="2" t="str">
        <f>IF(Base_de_donnee_articles!B156="","",Base_de_donnee_articles!B156)</f>
        <v/>
      </c>
      <c r="C156" s="2" t="str">
        <f>IF(Base_de_donnee_articles!C156="","",Base_de_donnee_articles!C156)</f>
        <v/>
      </c>
      <c r="D156" s="2" t="e">
        <f>IF(Inventaire!C156="","",Inventaire!C156/Base_de_donnee_articles!G156)</f>
        <v>#DIV/0!</v>
      </c>
      <c r="E156" s="2" t="str">
        <f>IF(B156="","",SUMIFS(Journal_entrees_et_sorties!D$8:D$400,Journal_entrees_et_sorties!C$8:C$400,C156))</f>
        <v/>
      </c>
      <c r="F156" s="2" t="e">
        <f>IF(Inventaire!D156="","",Inventaire!D156/Base_de_donnee_articles!G156)</f>
        <v>#DIV/0!</v>
      </c>
      <c r="G156" s="3" t="str">
        <f t="shared" si="2"/>
        <v/>
      </c>
    </row>
    <row r="157" spans="2:7" x14ac:dyDescent="0.35">
      <c r="B157" s="2" t="str">
        <f>IF(Base_de_donnee_articles!B157="","",Base_de_donnee_articles!B157)</f>
        <v/>
      </c>
      <c r="C157" s="2" t="str">
        <f>IF(Base_de_donnee_articles!C157="","",Base_de_donnee_articles!C157)</f>
        <v/>
      </c>
      <c r="D157" s="2" t="e">
        <f>IF(Inventaire!C157="","",Inventaire!C157/Base_de_donnee_articles!G157)</f>
        <v>#DIV/0!</v>
      </c>
      <c r="E157" s="2" t="str">
        <f>IF(B157="","",SUMIFS(Journal_entrees_et_sorties!D$8:D$400,Journal_entrees_et_sorties!C$8:C$400,C157))</f>
        <v/>
      </c>
      <c r="F157" s="2" t="e">
        <f>IF(Inventaire!D157="","",Inventaire!D157/Base_de_donnee_articles!G157)</f>
        <v>#DIV/0!</v>
      </c>
      <c r="G157" s="3" t="str">
        <f t="shared" si="2"/>
        <v/>
      </c>
    </row>
    <row r="158" spans="2:7" x14ac:dyDescent="0.35">
      <c r="B158" s="2" t="str">
        <f>IF(Base_de_donnee_articles!B158="","",Base_de_donnee_articles!B158)</f>
        <v/>
      </c>
      <c r="C158" s="2" t="str">
        <f>IF(Base_de_donnee_articles!C158="","",Base_de_donnee_articles!C158)</f>
        <v/>
      </c>
      <c r="D158" s="2" t="e">
        <f>IF(Inventaire!C158="","",Inventaire!C158/Base_de_donnee_articles!G158)</f>
        <v>#DIV/0!</v>
      </c>
      <c r="E158" s="2" t="str">
        <f>IF(B158="","",SUMIFS(Journal_entrees_et_sorties!D$8:D$400,Journal_entrees_et_sorties!C$8:C$400,C158))</f>
        <v/>
      </c>
      <c r="F158" s="2" t="e">
        <f>IF(Inventaire!D158="","",Inventaire!D158/Base_de_donnee_articles!G158)</f>
        <v>#DIV/0!</v>
      </c>
      <c r="G158" s="3" t="str">
        <f t="shared" si="2"/>
        <v/>
      </c>
    </row>
    <row r="159" spans="2:7" x14ac:dyDescent="0.35">
      <c r="B159" s="2" t="str">
        <f>IF(Base_de_donnee_articles!B159="","",Base_de_donnee_articles!B159)</f>
        <v/>
      </c>
      <c r="C159" s="2" t="str">
        <f>IF(Base_de_donnee_articles!C159="","",Base_de_donnee_articles!C159)</f>
        <v/>
      </c>
      <c r="D159" s="2" t="e">
        <f>IF(Inventaire!C159="","",Inventaire!C159/Base_de_donnee_articles!G159)</f>
        <v>#DIV/0!</v>
      </c>
      <c r="E159" s="2" t="str">
        <f>IF(B159="","",SUMIFS(Journal_entrees_et_sorties!D$8:D$400,Journal_entrees_et_sorties!C$8:C$400,C159))</f>
        <v/>
      </c>
      <c r="F159" s="2" t="e">
        <f>IF(Inventaire!D159="","",Inventaire!D159/Base_de_donnee_articles!G159)</f>
        <v>#DIV/0!</v>
      </c>
      <c r="G159" s="3" t="str">
        <f t="shared" si="2"/>
        <v/>
      </c>
    </row>
    <row r="160" spans="2:7" x14ac:dyDescent="0.35">
      <c r="B160" s="2" t="str">
        <f>IF(Base_de_donnee_articles!B160="","",Base_de_donnee_articles!B160)</f>
        <v/>
      </c>
      <c r="C160" s="2" t="str">
        <f>IF(Base_de_donnee_articles!C160="","",Base_de_donnee_articles!C160)</f>
        <v/>
      </c>
      <c r="D160" s="2" t="e">
        <f>IF(Inventaire!C160="","",Inventaire!C160/Base_de_donnee_articles!G160)</f>
        <v>#DIV/0!</v>
      </c>
      <c r="E160" s="2" t="str">
        <f>IF(B160="","",SUMIFS(Journal_entrees_et_sorties!D$8:D$400,Journal_entrees_et_sorties!C$8:C$400,C160))</f>
        <v/>
      </c>
      <c r="F160" s="2" t="e">
        <f>IF(Inventaire!D160="","",Inventaire!D160/Base_de_donnee_articles!G160)</f>
        <v>#DIV/0!</v>
      </c>
      <c r="G160" s="3" t="str">
        <f t="shared" si="2"/>
        <v/>
      </c>
    </row>
    <row r="161" spans="2:7" x14ac:dyDescent="0.35">
      <c r="B161" s="2" t="str">
        <f>IF(Base_de_donnee_articles!B161="","",Base_de_donnee_articles!B161)</f>
        <v/>
      </c>
      <c r="C161" s="2" t="str">
        <f>IF(Base_de_donnee_articles!C161="","",Base_de_donnee_articles!C161)</f>
        <v/>
      </c>
      <c r="D161" s="2" t="e">
        <f>IF(Inventaire!C161="","",Inventaire!C161/Base_de_donnee_articles!G161)</f>
        <v>#DIV/0!</v>
      </c>
      <c r="E161" s="2" t="str">
        <f>IF(B161="","",SUMIFS(Journal_entrees_et_sorties!D$8:D$400,Journal_entrees_et_sorties!C$8:C$400,C161))</f>
        <v/>
      </c>
      <c r="F161" s="2" t="e">
        <f>IF(Inventaire!D161="","",Inventaire!D161/Base_de_donnee_articles!G161)</f>
        <v>#DIV/0!</v>
      </c>
      <c r="G161" s="3" t="str">
        <f t="shared" si="2"/>
        <v/>
      </c>
    </row>
    <row r="162" spans="2:7" x14ac:dyDescent="0.35">
      <c r="B162" s="2" t="str">
        <f>IF(Base_de_donnee_articles!B162="","",Base_de_donnee_articles!B162)</f>
        <v/>
      </c>
      <c r="C162" s="2" t="str">
        <f>IF(Base_de_donnee_articles!C162="","",Base_de_donnee_articles!C162)</f>
        <v/>
      </c>
      <c r="D162" s="2" t="e">
        <f>IF(Inventaire!C162="","",Inventaire!C162/Base_de_donnee_articles!G162)</f>
        <v>#DIV/0!</v>
      </c>
      <c r="E162" s="2" t="str">
        <f>IF(B162="","",SUMIFS(Journal_entrees_et_sorties!D$8:D$400,Journal_entrees_et_sorties!C$8:C$400,C162))</f>
        <v/>
      </c>
      <c r="F162" s="2" t="e">
        <f>IF(Inventaire!D162="","",Inventaire!D162/Base_de_donnee_articles!G162)</f>
        <v>#DIV/0!</v>
      </c>
      <c r="G162" s="3" t="str">
        <f t="shared" si="2"/>
        <v/>
      </c>
    </row>
    <row r="163" spans="2:7" x14ac:dyDescent="0.35">
      <c r="B163" s="2" t="str">
        <f>IF(Base_de_donnee_articles!B163="","",Base_de_donnee_articles!B163)</f>
        <v/>
      </c>
      <c r="C163" s="2" t="str">
        <f>IF(Base_de_donnee_articles!C163="","",Base_de_donnee_articles!C163)</f>
        <v/>
      </c>
      <c r="D163" s="2" t="e">
        <f>IF(Inventaire!C163="","",Inventaire!C163/Base_de_donnee_articles!G163)</f>
        <v>#DIV/0!</v>
      </c>
      <c r="E163" s="2" t="str">
        <f>IF(B163="","",SUMIFS(Journal_entrees_et_sorties!D$8:D$400,Journal_entrees_et_sorties!C$8:C$400,C163))</f>
        <v/>
      </c>
      <c r="F163" s="2" t="e">
        <f>IF(Inventaire!D163="","",Inventaire!D163/Base_de_donnee_articles!G163)</f>
        <v>#DIV/0!</v>
      </c>
      <c r="G163" s="3" t="str">
        <f t="shared" si="2"/>
        <v/>
      </c>
    </row>
    <row r="164" spans="2:7" x14ac:dyDescent="0.35">
      <c r="B164" s="2" t="str">
        <f>IF(Base_de_donnee_articles!B164="","",Base_de_donnee_articles!B164)</f>
        <v/>
      </c>
      <c r="C164" s="2" t="str">
        <f>IF(Base_de_donnee_articles!C164="","",Base_de_donnee_articles!C164)</f>
        <v/>
      </c>
      <c r="D164" s="2" t="e">
        <f>IF(Inventaire!C164="","",Inventaire!C164/Base_de_donnee_articles!G164)</f>
        <v>#DIV/0!</v>
      </c>
      <c r="E164" s="2" t="str">
        <f>IF(B164="","",SUMIFS(Journal_entrees_et_sorties!D$8:D$400,Journal_entrees_et_sorties!C$8:C$400,C164))</f>
        <v/>
      </c>
      <c r="F164" s="2" t="e">
        <f>IF(Inventaire!D164="","",Inventaire!D164/Base_de_donnee_articles!G164)</f>
        <v>#DIV/0!</v>
      </c>
      <c r="G164" s="3" t="str">
        <f t="shared" si="2"/>
        <v/>
      </c>
    </row>
    <row r="165" spans="2:7" x14ac:dyDescent="0.35">
      <c r="B165" s="2" t="str">
        <f>IF(Base_de_donnee_articles!B165="","",Base_de_donnee_articles!B165)</f>
        <v/>
      </c>
      <c r="C165" s="2" t="str">
        <f>IF(Base_de_donnee_articles!C165="","",Base_de_donnee_articles!C165)</f>
        <v/>
      </c>
      <c r="D165" s="2" t="e">
        <f>IF(Inventaire!C165="","",Inventaire!C165/Base_de_donnee_articles!G165)</f>
        <v>#DIV/0!</v>
      </c>
      <c r="E165" s="2" t="str">
        <f>IF(B165="","",SUMIFS(Journal_entrees_et_sorties!D$8:D$400,Journal_entrees_et_sorties!C$8:C$400,C165))</f>
        <v/>
      </c>
      <c r="F165" s="2" t="e">
        <f>IF(Inventaire!D165="","",Inventaire!D165/Base_de_donnee_articles!G165)</f>
        <v>#DIV/0!</v>
      </c>
      <c r="G165" s="3" t="str">
        <f t="shared" si="2"/>
        <v/>
      </c>
    </row>
    <row r="166" spans="2:7" x14ac:dyDescent="0.35">
      <c r="B166" s="2" t="str">
        <f>IF(Base_de_donnee_articles!B166="","",Base_de_donnee_articles!B166)</f>
        <v/>
      </c>
      <c r="C166" s="2" t="str">
        <f>IF(Base_de_donnee_articles!C166="","",Base_de_donnee_articles!C166)</f>
        <v/>
      </c>
      <c r="D166" s="2" t="e">
        <f>IF(Inventaire!C166="","",Inventaire!C166/Base_de_donnee_articles!G166)</f>
        <v>#DIV/0!</v>
      </c>
      <c r="E166" s="2" t="str">
        <f>IF(B166="","",SUMIFS(Journal_entrees_et_sorties!D$8:D$400,Journal_entrees_et_sorties!C$8:C$400,C166))</f>
        <v/>
      </c>
      <c r="F166" s="2" t="e">
        <f>IF(Inventaire!D166="","",Inventaire!D166/Base_de_donnee_articles!G166)</f>
        <v>#DIV/0!</v>
      </c>
      <c r="G166" s="3" t="str">
        <f t="shared" si="2"/>
        <v/>
      </c>
    </row>
    <row r="167" spans="2:7" x14ac:dyDescent="0.35">
      <c r="B167" s="2" t="str">
        <f>IF(Base_de_donnee_articles!B167="","",Base_de_donnee_articles!B167)</f>
        <v/>
      </c>
      <c r="C167" s="2" t="str">
        <f>IF(Base_de_donnee_articles!C167="","",Base_de_donnee_articles!C167)</f>
        <v/>
      </c>
      <c r="D167" s="2" t="e">
        <f>IF(Inventaire!C167="","",Inventaire!C167/Base_de_donnee_articles!G167)</f>
        <v>#DIV/0!</v>
      </c>
      <c r="E167" s="2" t="str">
        <f>IF(B167="","",SUMIFS(Journal_entrees_et_sorties!D$8:D$400,Journal_entrees_et_sorties!C$8:C$400,C167))</f>
        <v/>
      </c>
      <c r="F167" s="2" t="e">
        <f>IF(Inventaire!D167="","",Inventaire!D167/Base_de_donnee_articles!G167)</f>
        <v>#DIV/0!</v>
      </c>
      <c r="G167" s="3" t="str">
        <f t="shared" si="2"/>
        <v/>
      </c>
    </row>
    <row r="168" spans="2:7" x14ac:dyDescent="0.35">
      <c r="B168" s="2" t="str">
        <f>IF(Base_de_donnee_articles!B168="","",Base_de_donnee_articles!B168)</f>
        <v/>
      </c>
      <c r="C168" s="2" t="str">
        <f>IF(Base_de_donnee_articles!C168="","",Base_de_donnee_articles!C168)</f>
        <v/>
      </c>
      <c r="D168" s="2" t="e">
        <f>IF(Inventaire!C168="","",Inventaire!C168/Base_de_donnee_articles!G168)</f>
        <v>#DIV/0!</v>
      </c>
      <c r="E168" s="2" t="str">
        <f>IF(B168="","",SUMIFS(Journal_entrees_et_sorties!D$8:D$400,Journal_entrees_et_sorties!C$8:C$400,C168))</f>
        <v/>
      </c>
      <c r="F168" s="2" t="e">
        <f>IF(Inventaire!D168="","",Inventaire!D168/Base_de_donnee_articles!G168)</f>
        <v>#DIV/0!</v>
      </c>
      <c r="G168" s="3" t="str">
        <f t="shared" si="2"/>
        <v/>
      </c>
    </row>
    <row r="169" spans="2:7" x14ac:dyDescent="0.35">
      <c r="B169" s="2" t="str">
        <f>IF(Base_de_donnee_articles!B169="","",Base_de_donnee_articles!B169)</f>
        <v/>
      </c>
      <c r="C169" s="2" t="str">
        <f>IF(Base_de_donnee_articles!C169="","",Base_de_donnee_articles!C169)</f>
        <v/>
      </c>
      <c r="D169" s="2" t="e">
        <f>IF(Inventaire!C169="","",Inventaire!C169/Base_de_donnee_articles!G169)</f>
        <v>#DIV/0!</v>
      </c>
      <c r="E169" s="2" t="str">
        <f>IF(B169="","",SUMIFS(Journal_entrees_et_sorties!D$8:D$400,Journal_entrees_et_sorties!C$8:C$400,C169))</f>
        <v/>
      </c>
      <c r="F169" s="2" t="e">
        <f>IF(Inventaire!D169="","",Inventaire!D169/Base_de_donnee_articles!G169)</f>
        <v>#DIV/0!</v>
      </c>
      <c r="G169" s="3" t="str">
        <f t="shared" si="2"/>
        <v/>
      </c>
    </row>
    <row r="170" spans="2:7" x14ac:dyDescent="0.35">
      <c r="B170" s="2" t="str">
        <f>IF(Base_de_donnee_articles!B170="","",Base_de_donnee_articles!B170)</f>
        <v/>
      </c>
      <c r="C170" s="2" t="str">
        <f>IF(Base_de_donnee_articles!C170="","",Base_de_donnee_articles!C170)</f>
        <v/>
      </c>
      <c r="D170" s="2" t="e">
        <f>IF(Inventaire!C170="","",Inventaire!C170/Base_de_donnee_articles!G170)</f>
        <v>#DIV/0!</v>
      </c>
      <c r="E170" s="2" t="str">
        <f>IF(B170="","",SUMIFS(Journal_entrees_et_sorties!D$8:D$400,Journal_entrees_et_sorties!C$8:C$400,C170))</f>
        <v/>
      </c>
      <c r="F170" s="2" t="e">
        <f>IF(Inventaire!D170="","",Inventaire!D170/Base_de_donnee_articles!G170)</f>
        <v>#DIV/0!</v>
      </c>
      <c r="G170" s="3" t="str">
        <f t="shared" si="2"/>
        <v/>
      </c>
    </row>
    <row r="171" spans="2:7" x14ac:dyDescent="0.35">
      <c r="B171" s="2" t="str">
        <f>IF(Base_de_donnee_articles!B171="","",Base_de_donnee_articles!B171)</f>
        <v/>
      </c>
      <c r="C171" s="2" t="str">
        <f>IF(Base_de_donnee_articles!C171="","",Base_de_donnee_articles!C171)</f>
        <v/>
      </c>
      <c r="D171" s="2" t="e">
        <f>IF(Inventaire!C171="","",Inventaire!C171/Base_de_donnee_articles!G171)</f>
        <v>#DIV/0!</v>
      </c>
      <c r="E171" s="2" t="str">
        <f>IF(B171="","",SUMIFS(Journal_entrees_et_sorties!D$8:D$400,Journal_entrees_et_sorties!C$8:C$400,C171))</f>
        <v/>
      </c>
      <c r="F171" s="2" t="e">
        <f>IF(Inventaire!D171="","",Inventaire!D171/Base_de_donnee_articles!G171)</f>
        <v>#DIV/0!</v>
      </c>
      <c r="G171" s="3" t="str">
        <f t="shared" si="2"/>
        <v/>
      </c>
    </row>
    <row r="172" spans="2:7" x14ac:dyDescent="0.35">
      <c r="B172" s="2" t="str">
        <f>IF(Base_de_donnee_articles!B172="","",Base_de_donnee_articles!B172)</f>
        <v/>
      </c>
      <c r="C172" s="2" t="str">
        <f>IF(Base_de_donnee_articles!C172="","",Base_de_donnee_articles!C172)</f>
        <v/>
      </c>
      <c r="D172" s="2" t="e">
        <f>IF(Inventaire!C172="","",Inventaire!C172/Base_de_donnee_articles!G172)</f>
        <v>#DIV/0!</v>
      </c>
      <c r="E172" s="2" t="str">
        <f>IF(B172="","",SUMIFS(Journal_entrees_et_sorties!D$8:D$400,Journal_entrees_et_sorties!C$8:C$400,C172))</f>
        <v/>
      </c>
      <c r="F172" s="2" t="e">
        <f>IF(Inventaire!D172="","",Inventaire!D172/Base_de_donnee_articles!G172)</f>
        <v>#DIV/0!</v>
      </c>
      <c r="G172" s="3" t="str">
        <f t="shared" si="2"/>
        <v/>
      </c>
    </row>
    <row r="173" spans="2:7" x14ac:dyDescent="0.35">
      <c r="B173" s="2" t="str">
        <f>IF(Base_de_donnee_articles!B173="","",Base_de_donnee_articles!B173)</f>
        <v/>
      </c>
      <c r="C173" s="2" t="str">
        <f>IF(Base_de_donnee_articles!C173="","",Base_de_donnee_articles!C173)</f>
        <v/>
      </c>
      <c r="D173" s="2" t="e">
        <f>IF(Inventaire!C173="","",Inventaire!C173/Base_de_donnee_articles!G173)</f>
        <v>#DIV/0!</v>
      </c>
      <c r="E173" s="2" t="str">
        <f>IF(B173="","",SUMIFS(Journal_entrees_et_sorties!D$8:D$400,Journal_entrees_et_sorties!C$8:C$400,C173))</f>
        <v/>
      </c>
      <c r="F173" s="2" t="e">
        <f>IF(Inventaire!D173="","",Inventaire!D173/Base_de_donnee_articles!G173)</f>
        <v>#DIV/0!</v>
      </c>
      <c r="G173" s="3" t="str">
        <f t="shared" si="2"/>
        <v/>
      </c>
    </row>
    <row r="174" spans="2:7" x14ac:dyDescent="0.35">
      <c r="B174" s="2" t="str">
        <f>IF(Base_de_donnee_articles!B174="","",Base_de_donnee_articles!B174)</f>
        <v/>
      </c>
      <c r="C174" s="2" t="str">
        <f>IF(Base_de_donnee_articles!C174="","",Base_de_donnee_articles!C174)</f>
        <v/>
      </c>
      <c r="D174" s="2" t="e">
        <f>IF(Inventaire!C174="","",Inventaire!C174/Base_de_donnee_articles!G174)</f>
        <v>#DIV/0!</v>
      </c>
      <c r="E174" s="2" t="str">
        <f>IF(B174="","",SUMIFS(Journal_entrees_et_sorties!D$8:D$400,Journal_entrees_et_sorties!C$8:C$400,C174))</f>
        <v/>
      </c>
      <c r="F174" s="2" t="e">
        <f>IF(Inventaire!D174="","",Inventaire!D174/Base_de_donnee_articles!G174)</f>
        <v>#DIV/0!</v>
      </c>
      <c r="G174" s="3" t="str">
        <f t="shared" si="2"/>
        <v/>
      </c>
    </row>
    <row r="175" spans="2:7" x14ac:dyDescent="0.35">
      <c r="B175" s="2" t="str">
        <f>IF(Base_de_donnee_articles!B175="","",Base_de_donnee_articles!B175)</f>
        <v/>
      </c>
      <c r="C175" s="2" t="str">
        <f>IF(Base_de_donnee_articles!C175="","",Base_de_donnee_articles!C175)</f>
        <v/>
      </c>
      <c r="D175" s="2" t="e">
        <f>IF(Inventaire!C175="","",Inventaire!C175/Base_de_donnee_articles!G175)</f>
        <v>#DIV/0!</v>
      </c>
      <c r="E175" s="2" t="str">
        <f>IF(B175="","",SUMIFS(Journal_entrees_et_sorties!D$8:D$400,Journal_entrees_et_sorties!C$8:C$400,C175))</f>
        <v/>
      </c>
      <c r="F175" s="2" t="e">
        <f>IF(Inventaire!D175="","",Inventaire!D175/Base_de_donnee_articles!G175)</f>
        <v>#DIV/0!</v>
      </c>
      <c r="G175" s="3" t="str">
        <f t="shared" si="2"/>
        <v/>
      </c>
    </row>
    <row r="176" spans="2:7" x14ac:dyDescent="0.35">
      <c r="B176" s="2" t="str">
        <f>IF(Base_de_donnee_articles!B176="","",Base_de_donnee_articles!B176)</f>
        <v/>
      </c>
      <c r="C176" s="2" t="str">
        <f>IF(Base_de_donnee_articles!C176="","",Base_de_donnee_articles!C176)</f>
        <v/>
      </c>
      <c r="D176" s="2" t="e">
        <f>IF(Inventaire!C176="","",Inventaire!C176/Base_de_donnee_articles!G176)</f>
        <v>#DIV/0!</v>
      </c>
      <c r="E176" s="2" t="str">
        <f>IF(B176="","",SUMIFS(Journal_entrees_et_sorties!D$8:D$400,Journal_entrees_et_sorties!C$8:C$400,C176))</f>
        <v/>
      </c>
      <c r="F176" s="2" t="e">
        <f>IF(Inventaire!D176="","",Inventaire!D176/Base_de_donnee_articles!G176)</f>
        <v>#DIV/0!</v>
      </c>
      <c r="G176" s="3" t="str">
        <f t="shared" si="2"/>
        <v/>
      </c>
    </row>
    <row r="177" spans="2:7" x14ac:dyDescent="0.35">
      <c r="B177" s="2" t="str">
        <f>IF(Base_de_donnee_articles!B177="","",Base_de_donnee_articles!B177)</f>
        <v/>
      </c>
      <c r="C177" s="2" t="str">
        <f>IF(Base_de_donnee_articles!C177="","",Base_de_donnee_articles!C177)</f>
        <v/>
      </c>
      <c r="D177" s="2" t="e">
        <f>IF(Inventaire!C177="","",Inventaire!C177/Base_de_donnee_articles!G177)</f>
        <v>#DIV/0!</v>
      </c>
      <c r="E177" s="2" t="str">
        <f>IF(B177="","",SUMIFS(Journal_entrees_et_sorties!D$8:D$400,Journal_entrees_et_sorties!C$8:C$400,C177))</f>
        <v/>
      </c>
      <c r="F177" s="2" t="e">
        <f>IF(Inventaire!D177="","",Inventaire!D177/Base_de_donnee_articles!G177)</f>
        <v>#DIV/0!</v>
      </c>
      <c r="G177" s="3" t="str">
        <f t="shared" si="2"/>
        <v/>
      </c>
    </row>
    <row r="178" spans="2:7" x14ac:dyDescent="0.35">
      <c r="B178" s="2" t="str">
        <f>IF(Base_de_donnee_articles!B178="","",Base_de_donnee_articles!B178)</f>
        <v/>
      </c>
      <c r="C178" s="2" t="str">
        <f>IF(Base_de_donnee_articles!C178="","",Base_de_donnee_articles!C178)</f>
        <v/>
      </c>
      <c r="D178" s="2" t="e">
        <f>IF(Inventaire!C178="","",Inventaire!C178/Base_de_donnee_articles!G178)</f>
        <v>#DIV/0!</v>
      </c>
      <c r="E178" s="2" t="str">
        <f>IF(B178="","",SUMIFS(Journal_entrees_et_sorties!D$8:D$400,Journal_entrees_et_sorties!C$8:C$400,C178))</f>
        <v/>
      </c>
      <c r="F178" s="2" t="e">
        <f>IF(Inventaire!D178="","",Inventaire!D178/Base_de_donnee_articles!G178)</f>
        <v>#DIV/0!</v>
      </c>
      <c r="G178" s="3" t="str">
        <f t="shared" si="2"/>
        <v/>
      </c>
    </row>
    <row r="179" spans="2:7" x14ac:dyDescent="0.35">
      <c r="B179" s="2" t="str">
        <f>IF(Base_de_donnee_articles!B179="","",Base_de_donnee_articles!B179)</f>
        <v/>
      </c>
      <c r="C179" s="2" t="str">
        <f>IF(Base_de_donnee_articles!C179="","",Base_de_donnee_articles!C179)</f>
        <v/>
      </c>
      <c r="D179" s="2" t="e">
        <f>IF(Inventaire!C179="","",Inventaire!C179/Base_de_donnee_articles!G179)</f>
        <v>#DIV/0!</v>
      </c>
      <c r="E179" s="2" t="str">
        <f>IF(B179="","",SUMIFS(Journal_entrees_et_sorties!D$8:D$400,Journal_entrees_et_sorties!C$8:C$400,C179))</f>
        <v/>
      </c>
      <c r="F179" s="2" t="e">
        <f>IF(Inventaire!D179="","",Inventaire!D179/Base_de_donnee_articles!G179)</f>
        <v>#DIV/0!</v>
      </c>
      <c r="G179" s="3" t="str">
        <f t="shared" si="2"/>
        <v/>
      </c>
    </row>
    <row r="180" spans="2:7" x14ac:dyDescent="0.35">
      <c r="B180" s="2" t="str">
        <f>IF(Base_de_donnee_articles!B180="","",Base_de_donnee_articles!B180)</f>
        <v/>
      </c>
      <c r="C180" s="2" t="str">
        <f>IF(Base_de_donnee_articles!C180="","",Base_de_donnee_articles!C180)</f>
        <v/>
      </c>
      <c r="D180" s="2" t="e">
        <f>IF(Inventaire!C180="","",Inventaire!C180/Base_de_donnee_articles!G180)</f>
        <v>#DIV/0!</v>
      </c>
      <c r="E180" s="2" t="str">
        <f>IF(B180="","",SUMIFS(Journal_entrees_et_sorties!D$8:D$400,Journal_entrees_et_sorties!C$8:C$400,C180))</f>
        <v/>
      </c>
      <c r="F180" s="2" t="e">
        <f>IF(Inventaire!D180="","",Inventaire!D180/Base_de_donnee_articles!G180)</f>
        <v>#DIV/0!</v>
      </c>
      <c r="G180" s="3" t="str">
        <f t="shared" si="2"/>
        <v/>
      </c>
    </row>
    <row r="181" spans="2:7" x14ac:dyDescent="0.35">
      <c r="B181" s="2" t="str">
        <f>IF(Base_de_donnee_articles!B181="","",Base_de_donnee_articles!B181)</f>
        <v/>
      </c>
      <c r="C181" s="2" t="str">
        <f>IF(Base_de_donnee_articles!C181="","",Base_de_donnee_articles!C181)</f>
        <v/>
      </c>
      <c r="D181" s="2" t="e">
        <f>IF(Inventaire!C181="","",Inventaire!C181/Base_de_donnee_articles!G181)</f>
        <v>#DIV/0!</v>
      </c>
      <c r="E181" s="2" t="str">
        <f>IF(B181="","",SUMIFS(Journal_entrees_et_sorties!D$8:D$400,Journal_entrees_et_sorties!C$8:C$400,C181))</f>
        <v/>
      </c>
      <c r="F181" s="2" t="e">
        <f>IF(Inventaire!D181="","",Inventaire!D181/Base_de_donnee_articles!G181)</f>
        <v>#DIV/0!</v>
      </c>
      <c r="G181" s="3" t="str">
        <f t="shared" si="2"/>
        <v/>
      </c>
    </row>
    <row r="182" spans="2:7" x14ac:dyDescent="0.35">
      <c r="B182" s="2" t="str">
        <f>IF(Base_de_donnee_articles!B182="","",Base_de_donnee_articles!B182)</f>
        <v/>
      </c>
      <c r="C182" s="2" t="str">
        <f>IF(Base_de_donnee_articles!C182="","",Base_de_donnee_articles!C182)</f>
        <v/>
      </c>
      <c r="D182" s="2" t="e">
        <f>IF(Inventaire!C182="","",Inventaire!C182/Base_de_donnee_articles!G182)</f>
        <v>#DIV/0!</v>
      </c>
      <c r="E182" s="2" t="str">
        <f>IF(B182="","",SUMIFS(Journal_entrees_et_sorties!D$8:D$400,Journal_entrees_et_sorties!C$8:C$400,C182))</f>
        <v/>
      </c>
      <c r="F182" s="2" t="e">
        <f>IF(Inventaire!D182="","",Inventaire!D182/Base_de_donnee_articles!G182)</f>
        <v>#DIV/0!</v>
      </c>
      <c r="G182" s="3" t="str">
        <f t="shared" si="2"/>
        <v/>
      </c>
    </row>
    <row r="183" spans="2:7" x14ac:dyDescent="0.35">
      <c r="B183" s="2" t="str">
        <f>IF(Base_de_donnee_articles!B183="","",Base_de_donnee_articles!B183)</f>
        <v/>
      </c>
      <c r="C183" s="2" t="str">
        <f>IF(Base_de_donnee_articles!C183="","",Base_de_donnee_articles!C183)</f>
        <v/>
      </c>
      <c r="D183" s="2" t="e">
        <f>IF(Inventaire!C183="","",Inventaire!C183/Base_de_donnee_articles!G183)</f>
        <v>#DIV/0!</v>
      </c>
      <c r="E183" s="2" t="str">
        <f>IF(B183="","",SUMIFS(Journal_entrees_et_sorties!D$8:D$400,Journal_entrees_et_sorties!C$8:C$400,C183))</f>
        <v/>
      </c>
      <c r="F183" s="2" t="e">
        <f>IF(Inventaire!D183="","",Inventaire!D183/Base_de_donnee_articles!G183)</f>
        <v>#DIV/0!</v>
      </c>
      <c r="G183" s="3" t="str">
        <f t="shared" si="2"/>
        <v/>
      </c>
    </row>
    <row r="184" spans="2:7" x14ac:dyDescent="0.35">
      <c r="B184" s="2" t="str">
        <f>IF(Base_de_donnee_articles!B184="","",Base_de_donnee_articles!B184)</f>
        <v/>
      </c>
      <c r="C184" s="2" t="str">
        <f>IF(Base_de_donnee_articles!C184="","",Base_de_donnee_articles!C184)</f>
        <v/>
      </c>
      <c r="D184" s="2" t="e">
        <f>IF(Inventaire!C184="","",Inventaire!C184/Base_de_donnee_articles!G184)</f>
        <v>#DIV/0!</v>
      </c>
      <c r="E184" s="2" t="str">
        <f>IF(B184="","",SUMIFS(Journal_entrees_et_sorties!D$8:D$400,Journal_entrees_et_sorties!C$8:C$400,C184))</f>
        <v/>
      </c>
      <c r="F184" s="2" t="e">
        <f>IF(Inventaire!D184="","",Inventaire!D184/Base_de_donnee_articles!G184)</f>
        <v>#DIV/0!</v>
      </c>
      <c r="G184" s="3" t="str">
        <f t="shared" si="2"/>
        <v/>
      </c>
    </row>
    <row r="185" spans="2:7" x14ac:dyDescent="0.35">
      <c r="B185" s="2" t="str">
        <f>IF(Base_de_donnee_articles!B185="","",Base_de_donnee_articles!B185)</f>
        <v/>
      </c>
      <c r="C185" s="2" t="str">
        <f>IF(Base_de_donnee_articles!C185="","",Base_de_donnee_articles!C185)</f>
        <v/>
      </c>
      <c r="D185" s="2" t="e">
        <f>IF(Inventaire!C185="","",Inventaire!C185/Base_de_donnee_articles!G185)</f>
        <v>#DIV/0!</v>
      </c>
      <c r="E185" s="2" t="str">
        <f>IF(B185="","",SUMIFS(Journal_entrees_et_sorties!D$8:D$400,Journal_entrees_et_sorties!C$8:C$400,C185))</f>
        <v/>
      </c>
      <c r="F185" s="2" t="e">
        <f>IF(Inventaire!D185="","",Inventaire!D185/Base_de_donnee_articles!G185)</f>
        <v>#DIV/0!</v>
      </c>
      <c r="G185" s="3" t="str">
        <f t="shared" si="2"/>
        <v/>
      </c>
    </row>
    <row r="186" spans="2:7" x14ac:dyDescent="0.35">
      <c r="B186" s="2" t="str">
        <f>IF(Base_de_donnee_articles!B186="","",Base_de_donnee_articles!B186)</f>
        <v/>
      </c>
      <c r="C186" s="2" t="str">
        <f>IF(Base_de_donnee_articles!C186="","",Base_de_donnee_articles!C186)</f>
        <v/>
      </c>
      <c r="D186" s="2" t="e">
        <f>IF(Inventaire!C186="","",Inventaire!C186/Base_de_donnee_articles!G186)</f>
        <v>#DIV/0!</v>
      </c>
      <c r="E186" s="2" t="str">
        <f>IF(B186="","",SUMIFS(Journal_entrees_et_sorties!D$8:D$400,Journal_entrees_et_sorties!C$8:C$400,C186))</f>
        <v/>
      </c>
      <c r="F186" s="2" t="e">
        <f>IF(Inventaire!D186="","",Inventaire!D186/Base_de_donnee_articles!G186)</f>
        <v>#DIV/0!</v>
      </c>
      <c r="G186" s="3" t="str">
        <f t="shared" si="2"/>
        <v/>
      </c>
    </row>
    <row r="187" spans="2:7" x14ac:dyDescent="0.35">
      <c r="B187" s="2" t="str">
        <f>IF(Base_de_donnee_articles!B187="","",Base_de_donnee_articles!B187)</f>
        <v/>
      </c>
      <c r="C187" s="2" t="str">
        <f>IF(Base_de_donnee_articles!C187="","",Base_de_donnee_articles!C187)</f>
        <v/>
      </c>
      <c r="D187" s="2" t="e">
        <f>IF(Inventaire!C187="","",Inventaire!C187/Base_de_donnee_articles!G187)</f>
        <v>#DIV/0!</v>
      </c>
      <c r="E187" s="2" t="str">
        <f>IF(B187="","",SUMIFS(Journal_entrees_et_sorties!D$8:D$400,Journal_entrees_et_sorties!C$8:C$400,C187))</f>
        <v/>
      </c>
      <c r="F187" s="2" t="e">
        <f>IF(Inventaire!D187="","",Inventaire!D187/Base_de_donnee_articles!G187)</f>
        <v>#DIV/0!</v>
      </c>
      <c r="G187" s="3" t="str">
        <f t="shared" si="2"/>
        <v/>
      </c>
    </row>
    <row r="188" spans="2:7" x14ac:dyDescent="0.35">
      <c r="B188" s="2" t="str">
        <f>IF(Base_de_donnee_articles!B188="","",Base_de_donnee_articles!B188)</f>
        <v/>
      </c>
      <c r="C188" s="2" t="str">
        <f>IF(Base_de_donnee_articles!C188="","",Base_de_donnee_articles!C188)</f>
        <v/>
      </c>
      <c r="D188" s="2" t="e">
        <f>IF(Inventaire!C188="","",Inventaire!C188/Base_de_donnee_articles!G188)</f>
        <v>#DIV/0!</v>
      </c>
      <c r="E188" s="2" t="str">
        <f>IF(B188="","",SUMIFS(Journal_entrees_et_sorties!D$8:D$400,Journal_entrees_et_sorties!C$8:C$400,C188))</f>
        <v/>
      </c>
      <c r="F188" s="2" t="e">
        <f>IF(Inventaire!D188="","",Inventaire!D188/Base_de_donnee_articles!G188)</f>
        <v>#DIV/0!</v>
      </c>
      <c r="G188" s="3" t="str">
        <f t="shared" si="2"/>
        <v/>
      </c>
    </row>
    <row r="189" spans="2:7" x14ac:dyDescent="0.35">
      <c r="B189" s="2" t="str">
        <f>IF(Base_de_donnee_articles!B189="","",Base_de_donnee_articles!B189)</f>
        <v/>
      </c>
      <c r="C189" s="2" t="str">
        <f>IF(Base_de_donnee_articles!C189="","",Base_de_donnee_articles!C189)</f>
        <v/>
      </c>
      <c r="D189" s="2" t="e">
        <f>IF(Inventaire!C189="","",Inventaire!C189/Base_de_donnee_articles!G189)</f>
        <v>#DIV/0!</v>
      </c>
      <c r="E189" s="2" t="str">
        <f>IF(B189="","",SUMIFS(Journal_entrees_et_sorties!D$8:D$400,Journal_entrees_et_sorties!C$8:C$400,C189))</f>
        <v/>
      </c>
      <c r="F189" s="2" t="e">
        <f>IF(Inventaire!D189="","",Inventaire!D189/Base_de_donnee_articles!G189)</f>
        <v>#DIV/0!</v>
      </c>
      <c r="G189" s="3" t="str">
        <f t="shared" si="2"/>
        <v/>
      </c>
    </row>
    <row r="190" spans="2:7" x14ac:dyDescent="0.35">
      <c r="B190" s="2" t="str">
        <f>IF(Base_de_donnee_articles!B190="","",Base_de_donnee_articles!B190)</f>
        <v/>
      </c>
      <c r="C190" s="2" t="str">
        <f>IF(Base_de_donnee_articles!C190="","",Base_de_donnee_articles!C190)</f>
        <v/>
      </c>
      <c r="D190" s="2" t="e">
        <f>IF(Inventaire!C190="","",Inventaire!C190/Base_de_donnee_articles!G190)</f>
        <v>#DIV/0!</v>
      </c>
      <c r="E190" s="2" t="str">
        <f>IF(B190="","",SUMIFS(Journal_entrees_et_sorties!D$8:D$400,Journal_entrees_et_sorties!C$8:C$400,C190))</f>
        <v/>
      </c>
      <c r="F190" s="2" t="e">
        <f>IF(Inventaire!D190="","",Inventaire!D190/Base_de_donnee_articles!G190)</f>
        <v>#DIV/0!</v>
      </c>
      <c r="G190" s="3" t="str">
        <f t="shared" si="2"/>
        <v/>
      </c>
    </row>
    <row r="191" spans="2:7" x14ac:dyDescent="0.35">
      <c r="B191" s="2" t="str">
        <f>IF(Base_de_donnee_articles!B191="","",Base_de_donnee_articles!B191)</f>
        <v/>
      </c>
      <c r="C191" s="2" t="str">
        <f>IF(Base_de_donnee_articles!C191="","",Base_de_donnee_articles!C191)</f>
        <v/>
      </c>
      <c r="D191" s="2" t="e">
        <f>IF(Inventaire!C191="","",Inventaire!C191/Base_de_donnee_articles!G191)</f>
        <v>#DIV/0!</v>
      </c>
      <c r="E191" s="2" t="str">
        <f>IF(B191="","",SUMIFS(Journal_entrees_et_sorties!D$8:D$400,Journal_entrees_et_sorties!C$8:C$400,C191))</f>
        <v/>
      </c>
      <c r="F191" s="2" t="e">
        <f>IF(Inventaire!D191="","",Inventaire!D191/Base_de_donnee_articles!G191)</f>
        <v>#DIV/0!</v>
      </c>
      <c r="G191" s="3" t="str">
        <f t="shared" si="2"/>
        <v/>
      </c>
    </row>
    <row r="192" spans="2:7" x14ac:dyDescent="0.35">
      <c r="B192" s="2" t="str">
        <f>IF(Base_de_donnee_articles!B192="","",Base_de_donnee_articles!B192)</f>
        <v/>
      </c>
      <c r="C192" s="2" t="str">
        <f>IF(Base_de_donnee_articles!C192="","",Base_de_donnee_articles!C192)</f>
        <v/>
      </c>
      <c r="D192" s="2" t="e">
        <f>IF(Inventaire!C192="","",Inventaire!C192/Base_de_donnee_articles!G192)</f>
        <v>#DIV/0!</v>
      </c>
      <c r="E192" s="2" t="str">
        <f>IF(B192="","",SUMIFS(Journal_entrees_et_sorties!D$8:D$400,Journal_entrees_et_sorties!C$8:C$400,C192))</f>
        <v/>
      </c>
      <c r="F192" s="2" t="e">
        <f>IF(Inventaire!D192="","",Inventaire!D192/Base_de_donnee_articles!G192)</f>
        <v>#DIV/0!</v>
      </c>
      <c r="G192" s="3" t="str">
        <f t="shared" si="2"/>
        <v/>
      </c>
    </row>
    <row r="193" spans="2:7" x14ac:dyDescent="0.35">
      <c r="B193" s="2" t="str">
        <f>IF(Base_de_donnee_articles!B193="","",Base_de_donnee_articles!B193)</f>
        <v/>
      </c>
      <c r="C193" s="2" t="str">
        <f>IF(Base_de_donnee_articles!C193="","",Base_de_donnee_articles!C193)</f>
        <v/>
      </c>
      <c r="D193" s="2" t="e">
        <f>IF(Inventaire!C193="","",Inventaire!C193/Base_de_donnee_articles!G193)</f>
        <v>#DIV/0!</v>
      </c>
      <c r="E193" s="2" t="str">
        <f>IF(B193="","",SUMIFS(Journal_entrees_et_sorties!D$8:D$400,Journal_entrees_et_sorties!C$8:C$400,C193))</f>
        <v/>
      </c>
      <c r="F193" s="2" t="e">
        <f>IF(Inventaire!D193="","",Inventaire!D193/Base_de_donnee_articles!G193)</f>
        <v>#DIV/0!</v>
      </c>
      <c r="G193" s="3" t="str">
        <f t="shared" si="2"/>
        <v/>
      </c>
    </row>
    <row r="194" spans="2:7" x14ac:dyDescent="0.35">
      <c r="B194" s="2" t="str">
        <f>IF(Base_de_donnee_articles!B194="","",Base_de_donnee_articles!B194)</f>
        <v/>
      </c>
      <c r="C194" s="2" t="str">
        <f>IF(Base_de_donnee_articles!C194="","",Base_de_donnee_articles!C194)</f>
        <v/>
      </c>
      <c r="D194" s="2" t="e">
        <f>IF(Inventaire!C194="","",Inventaire!C194/Base_de_donnee_articles!G194)</f>
        <v>#DIV/0!</v>
      </c>
      <c r="E194" s="2" t="str">
        <f>IF(B194="","",SUMIFS(Journal_entrees_et_sorties!D$8:D$400,Journal_entrees_et_sorties!C$8:C$400,C194))</f>
        <v/>
      </c>
      <c r="F194" s="2" t="e">
        <f>IF(Inventaire!D194="","",Inventaire!D194/Base_de_donnee_articles!G194)</f>
        <v>#DIV/0!</v>
      </c>
      <c r="G194" s="3" t="str">
        <f t="shared" si="2"/>
        <v/>
      </c>
    </row>
    <row r="195" spans="2:7" x14ac:dyDescent="0.35">
      <c r="B195" s="2" t="str">
        <f>IF(Base_de_donnee_articles!B195="","",Base_de_donnee_articles!B195)</f>
        <v/>
      </c>
      <c r="C195" s="2" t="str">
        <f>IF(Base_de_donnee_articles!C195="","",Base_de_donnee_articles!C195)</f>
        <v/>
      </c>
      <c r="D195" s="2" t="e">
        <f>IF(Inventaire!C195="","",Inventaire!C195/Base_de_donnee_articles!G195)</f>
        <v>#DIV/0!</v>
      </c>
      <c r="E195" s="2" t="str">
        <f>IF(B195="","",SUMIFS(Journal_entrees_et_sorties!D$8:D$400,Journal_entrees_et_sorties!C$8:C$400,C195))</f>
        <v/>
      </c>
      <c r="F195" s="2" t="e">
        <f>IF(Inventaire!D195="","",Inventaire!D195/Base_de_donnee_articles!G195)</f>
        <v>#DIV/0!</v>
      </c>
      <c r="G195" s="3" t="str">
        <f t="shared" si="2"/>
        <v/>
      </c>
    </row>
    <row r="196" spans="2:7" x14ac:dyDescent="0.35">
      <c r="B196" s="2" t="str">
        <f>IF(Base_de_donnee_articles!B196="","",Base_de_donnee_articles!B196)</f>
        <v/>
      </c>
      <c r="C196" s="2" t="str">
        <f>IF(Base_de_donnee_articles!C196="","",Base_de_donnee_articles!C196)</f>
        <v/>
      </c>
      <c r="D196" s="2" t="e">
        <f>IF(Inventaire!C196="","",Inventaire!C196/Base_de_donnee_articles!G196)</f>
        <v>#DIV/0!</v>
      </c>
      <c r="E196" s="2" t="str">
        <f>IF(B196="","",SUMIFS(Journal_entrees_et_sorties!D$8:D$400,Journal_entrees_et_sorties!C$8:C$400,C196))</f>
        <v/>
      </c>
      <c r="F196" s="2" t="e">
        <f>IF(Inventaire!D196="","",Inventaire!D196/Base_de_donnee_articles!G196)</f>
        <v>#DIV/0!</v>
      </c>
      <c r="G196" s="3" t="str">
        <f t="shared" si="2"/>
        <v/>
      </c>
    </row>
    <row r="197" spans="2:7" x14ac:dyDescent="0.35">
      <c r="B197" s="2" t="str">
        <f>IF(Base_de_donnee_articles!B197="","",Base_de_donnee_articles!B197)</f>
        <v/>
      </c>
      <c r="C197" s="2" t="str">
        <f>IF(Base_de_donnee_articles!C197="","",Base_de_donnee_articles!C197)</f>
        <v/>
      </c>
      <c r="D197" s="2" t="e">
        <f>IF(Inventaire!C197="","",Inventaire!C197/Base_de_donnee_articles!G197)</f>
        <v>#DIV/0!</v>
      </c>
      <c r="E197" s="2" t="str">
        <f>IF(B197="","",SUMIFS(Journal_entrees_et_sorties!D$8:D$400,Journal_entrees_et_sorties!C$8:C$400,C197))</f>
        <v/>
      </c>
      <c r="F197" s="2" t="e">
        <f>IF(Inventaire!D197="","",Inventaire!D197/Base_de_donnee_articles!G197)</f>
        <v>#DIV/0!</v>
      </c>
      <c r="G197" s="3" t="str">
        <f t="shared" si="2"/>
        <v/>
      </c>
    </row>
    <row r="198" spans="2:7" x14ac:dyDescent="0.35">
      <c r="B198" s="2" t="str">
        <f>IF(Base_de_donnee_articles!B198="","",Base_de_donnee_articles!B198)</f>
        <v/>
      </c>
      <c r="C198" s="2" t="str">
        <f>IF(Base_de_donnee_articles!C198="","",Base_de_donnee_articles!C198)</f>
        <v/>
      </c>
      <c r="D198" s="2" t="e">
        <f>IF(Inventaire!C198="","",Inventaire!C198/Base_de_donnee_articles!G198)</f>
        <v>#DIV/0!</v>
      </c>
      <c r="E198" s="2" t="str">
        <f>IF(B198="","",SUMIFS(Journal_entrees_et_sorties!D$8:D$400,Journal_entrees_et_sorties!C$8:C$400,C198))</f>
        <v/>
      </c>
      <c r="F198" s="2" t="e">
        <f>IF(Inventaire!D198="","",Inventaire!D198/Base_de_donnee_articles!G198)</f>
        <v>#DIV/0!</v>
      </c>
      <c r="G198" s="3" t="str">
        <f t="shared" si="2"/>
        <v/>
      </c>
    </row>
    <row r="199" spans="2:7" x14ac:dyDescent="0.35">
      <c r="B199" s="2" t="str">
        <f>IF(Base_de_donnee_articles!B199="","",Base_de_donnee_articles!B199)</f>
        <v/>
      </c>
      <c r="C199" s="2" t="str">
        <f>IF(Base_de_donnee_articles!C199="","",Base_de_donnee_articles!C199)</f>
        <v/>
      </c>
      <c r="D199" s="2" t="e">
        <f>IF(Inventaire!C199="","",Inventaire!C199/Base_de_donnee_articles!G199)</f>
        <v>#DIV/0!</v>
      </c>
      <c r="E199" s="2" t="str">
        <f>IF(B199="","",SUMIFS(Journal_entrees_et_sorties!D$8:D$400,Journal_entrees_et_sorties!C$8:C$400,C199))</f>
        <v/>
      </c>
      <c r="F199" s="2" t="e">
        <f>IF(Inventaire!D199="","",Inventaire!D199/Base_de_donnee_articles!G199)</f>
        <v>#DIV/0!</v>
      </c>
      <c r="G199" s="3" t="str">
        <f t="shared" si="2"/>
        <v/>
      </c>
    </row>
    <row r="200" spans="2:7" x14ac:dyDescent="0.35">
      <c r="B200" s="2" t="str">
        <f>IF(Base_de_donnee_articles!B200="","",Base_de_donnee_articles!B200)</f>
        <v/>
      </c>
      <c r="C200" s="2" t="str">
        <f>IF(Base_de_donnee_articles!C200="","",Base_de_donnee_articles!C200)</f>
        <v/>
      </c>
      <c r="D200" s="2" t="e">
        <f>IF(Inventaire!C200="","",Inventaire!C200/Base_de_donnee_articles!G200)</f>
        <v>#DIV/0!</v>
      </c>
      <c r="E200" s="2" t="str">
        <f>IF(B200="","",SUMIFS(Journal_entrees_et_sorties!D$8:D$400,Journal_entrees_et_sorties!C$8:C$400,C200))</f>
        <v/>
      </c>
      <c r="F200" s="2" t="e">
        <f>IF(Inventaire!D200="","",Inventaire!D200/Base_de_donnee_articles!G200)</f>
        <v>#DIV/0!</v>
      </c>
      <c r="G200" s="3" t="str">
        <f t="shared" si="2"/>
        <v/>
      </c>
    </row>
    <row r="201" spans="2:7" x14ac:dyDescent="0.35">
      <c r="B201" s="2" t="str">
        <f>IF(Base_de_donnee_articles!B201="","",Base_de_donnee_articles!B201)</f>
        <v/>
      </c>
      <c r="C201" s="2" t="str">
        <f>IF(Base_de_donnee_articles!C201="","",Base_de_donnee_articles!C201)</f>
        <v/>
      </c>
      <c r="D201" s="2" t="e">
        <f>IF(Inventaire!C201="","",Inventaire!C201/Base_de_donnee_articles!G201)</f>
        <v>#DIV/0!</v>
      </c>
      <c r="E201" s="2" t="str">
        <f>IF(B201="","",SUMIFS(Journal_entrees_et_sorties!D$8:D$400,Journal_entrees_et_sorties!C$8:C$400,C201))</f>
        <v/>
      </c>
      <c r="F201" s="2" t="e">
        <f>IF(Inventaire!D201="","",Inventaire!D201/Base_de_donnee_articles!G201)</f>
        <v>#DIV/0!</v>
      </c>
      <c r="G201" s="3" t="str">
        <f t="shared" ref="G201:G264" si="3">IF(C201="","",D201+E201-F201)</f>
        <v/>
      </c>
    </row>
    <row r="202" spans="2:7" x14ac:dyDescent="0.35">
      <c r="B202" s="2" t="str">
        <f>IF(Base_de_donnee_articles!B202="","",Base_de_donnee_articles!B202)</f>
        <v/>
      </c>
      <c r="C202" s="2" t="str">
        <f>IF(Base_de_donnee_articles!C202="","",Base_de_donnee_articles!C202)</f>
        <v/>
      </c>
      <c r="D202" s="2" t="e">
        <f>IF(Inventaire!C202="","",Inventaire!C202/Base_de_donnee_articles!G202)</f>
        <v>#DIV/0!</v>
      </c>
      <c r="E202" s="2" t="str">
        <f>IF(B202="","",SUMIFS(Journal_entrees_et_sorties!D$8:D$400,Journal_entrees_et_sorties!C$8:C$400,C202))</f>
        <v/>
      </c>
      <c r="F202" s="2" t="e">
        <f>IF(Inventaire!D202="","",Inventaire!D202/Base_de_donnee_articles!G202)</f>
        <v>#DIV/0!</v>
      </c>
      <c r="G202" s="3" t="str">
        <f t="shared" si="3"/>
        <v/>
      </c>
    </row>
    <row r="203" spans="2:7" x14ac:dyDescent="0.35">
      <c r="B203" s="2" t="str">
        <f>IF(Base_de_donnee_articles!B203="","",Base_de_donnee_articles!B203)</f>
        <v/>
      </c>
      <c r="C203" s="2" t="str">
        <f>IF(Base_de_donnee_articles!C203="","",Base_de_donnee_articles!C203)</f>
        <v/>
      </c>
      <c r="D203" s="2" t="e">
        <f>IF(Inventaire!C203="","",Inventaire!C203/Base_de_donnee_articles!G203)</f>
        <v>#DIV/0!</v>
      </c>
      <c r="E203" s="2" t="str">
        <f>IF(B203="","",SUMIFS(Journal_entrees_et_sorties!D$8:D$400,Journal_entrees_et_sorties!C$8:C$400,C203))</f>
        <v/>
      </c>
      <c r="F203" s="2" t="e">
        <f>IF(Inventaire!D203="","",Inventaire!D203/Base_de_donnee_articles!G203)</f>
        <v>#DIV/0!</v>
      </c>
      <c r="G203" s="3" t="str">
        <f t="shared" si="3"/>
        <v/>
      </c>
    </row>
    <row r="204" spans="2:7" x14ac:dyDescent="0.35">
      <c r="B204" s="2" t="str">
        <f>IF(Base_de_donnee_articles!B204="","",Base_de_donnee_articles!B204)</f>
        <v/>
      </c>
      <c r="C204" s="2" t="str">
        <f>IF(Base_de_donnee_articles!C204="","",Base_de_donnee_articles!C204)</f>
        <v/>
      </c>
      <c r="D204" s="2" t="e">
        <f>IF(Inventaire!C204="","",Inventaire!C204/Base_de_donnee_articles!G204)</f>
        <v>#DIV/0!</v>
      </c>
      <c r="E204" s="2" t="str">
        <f>IF(B204="","",SUMIFS(Journal_entrees_et_sorties!D$8:D$400,Journal_entrees_et_sorties!C$8:C$400,C204))</f>
        <v/>
      </c>
      <c r="F204" s="2" t="e">
        <f>IF(Inventaire!D204="","",Inventaire!D204/Base_de_donnee_articles!G204)</f>
        <v>#DIV/0!</v>
      </c>
      <c r="G204" s="3" t="str">
        <f t="shared" si="3"/>
        <v/>
      </c>
    </row>
    <row r="205" spans="2:7" x14ac:dyDescent="0.35">
      <c r="B205" s="2" t="str">
        <f>IF(Base_de_donnee_articles!B205="","",Base_de_donnee_articles!B205)</f>
        <v/>
      </c>
      <c r="C205" s="2" t="str">
        <f>IF(Base_de_donnee_articles!C205="","",Base_de_donnee_articles!C205)</f>
        <v/>
      </c>
      <c r="D205" s="2" t="e">
        <f>IF(Inventaire!C205="","",Inventaire!C205/Base_de_donnee_articles!G205)</f>
        <v>#DIV/0!</v>
      </c>
      <c r="E205" s="2" t="str">
        <f>IF(B205="","",SUMIFS(Journal_entrees_et_sorties!D$8:D$400,Journal_entrees_et_sorties!C$8:C$400,C205))</f>
        <v/>
      </c>
      <c r="F205" s="2" t="e">
        <f>IF(Inventaire!D205="","",Inventaire!D205/Base_de_donnee_articles!G205)</f>
        <v>#DIV/0!</v>
      </c>
      <c r="G205" s="3" t="str">
        <f t="shared" si="3"/>
        <v/>
      </c>
    </row>
    <row r="206" spans="2:7" x14ac:dyDescent="0.35">
      <c r="B206" s="2" t="str">
        <f>IF(Base_de_donnee_articles!B206="","",Base_de_donnee_articles!B206)</f>
        <v/>
      </c>
      <c r="C206" s="2" t="str">
        <f>IF(Base_de_donnee_articles!C206="","",Base_de_donnee_articles!C206)</f>
        <v/>
      </c>
      <c r="D206" s="2" t="e">
        <f>IF(Inventaire!C206="","",Inventaire!C206/Base_de_donnee_articles!G206)</f>
        <v>#DIV/0!</v>
      </c>
      <c r="E206" s="2" t="str">
        <f>IF(B206="","",SUMIFS(Journal_entrees_et_sorties!D$8:D$400,Journal_entrees_et_sorties!C$8:C$400,C206))</f>
        <v/>
      </c>
      <c r="F206" s="2" t="e">
        <f>IF(Inventaire!D206="","",Inventaire!D206/Base_de_donnee_articles!G206)</f>
        <v>#DIV/0!</v>
      </c>
      <c r="G206" s="3" t="str">
        <f t="shared" si="3"/>
        <v/>
      </c>
    </row>
    <row r="207" spans="2:7" x14ac:dyDescent="0.35">
      <c r="B207" s="2" t="str">
        <f>IF(Base_de_donnee_articles!B207="","",Base_de_donnee_articles!B207)</f>
        <v/>
      </c>
      <c r="C207" s="2" t="str">
        <f>IF(Base_de_donnee_articles!C207="","",Base_de_donnee_articles!C207)</f>
        <v/>
      </c>
      <c r="D207" s="2" t="e">
        <f>IF(Inventaire!C207="","",Inventaire!C207/Base_de_donnee_articles!G207)</f>
        <v>#DIV/0!</v>
      </c>
      <c r="E207" s="2" t="str">
        <f>IF(B207="","",SUMIFS(Journal_entrees_et_sorties!D$8:D$400,Journal_entrees_et_sorties!C$8:C$400,C207))</f>
        <v/>
      </c>
      <c r="F207" s="2" t="e">
        <f>IF(Inventaire!D207="","",Inventaire!D207/Base_de_donnee_articles!G207)</f>
        <v>#DIV/0!</v>
      </c>
      <c r="G207" s="3" t="str">
        <f t="shared" si="3"/>
        <v/>
      </c>
    </row>
    <row r="208" spans="2:7" x14ac:dyDescent="0.35">
      <c r="B208" s="2" t="str">
        <f>IF(Base_de_donnee_articles!B208="","",Base_de_donnee_articles!B208)</f>
        <v/>
      </c>
      <c r="C208" s="2" t="str">
        <f>IF(Base_de_donnee_articles!C208="","",Base_de_donnee_articles!C208)</f>
        <v/>
      </c>
      <c r="D208" s="2" t="e">
        <f>IF(Inventaire!C208="","",Inventaire!C208/Base_de_donnee_articles!G208)</f>
        <v>#DIV/0!</v>
      </c>
      <c r="E208" s="2" t="str">
        <f>IF(B208="","",SUMIFS(Journal_entrees_et_sorties!D$8:D$400,Journal_entrees_et_sorties!C$8:C$400,C208))</f>
        <v/>
      </c>
      <c r="F208" s="2" t="e">
        <f>IF(Inventaire!D208="","",Inventaire!D208/Base_de_donnee_articles!G208)</f>
        <v>#DIV/0!</v>
      </c>
      <c r="G208" s="3" t="str">
        <f t="shared" si="3"/>
        <v/>
      </c>
    </row>
    <row r="209" spans="2:7" x14ac:dyDescent="0.35">
      <c r="B209" s="2" t="str">
        <f>IF(Base_de_donnee_articles!B209="","",Base_de_donnee_articles!B209)</f>
        <v/>
      </c>
      <c r="C209" s="2" t="str">
        <f>IF(Base_de_donnee_articles!C209="","",Base_de_donnee_articles!C209)</f>
        <v/>
      </c>
      <c r="D209" s="2" t="e">
        <f>IF(Inventaire!C209="","",Inventaire!C209/Base_de_donnee_articles!G209)</f>
        <v>#DIV/0!</v>
      </c>
      <c r="E209" s="2" t="str">
        <f>IF(B209="","",SUMIFS(Journal_entrees_et_sorties!D$8:D$400,Journal_entrees_et_sorties!C$8:C$400,C209))</f>
        <v/>
      </c>
      <c r="F209" s="2" t="e">
        <f>IF(Inventaire!D209="","",Inventaire!D209/Base_de_donnee_articles!G209)</f>
        <v>#DIV/0!</v>
      </c>
      <c r="G209" s="3" t="str">
        <f t="shared" si="3"/>
        <v/>
      </c>
    </row>
    <row r="210" spans="2:7" x14ac:dyDescent="0.35">
      <c r="B210" s="2" t="str">
        <f>IF(Base_de_donnee_articles!B210="","",Base_de_donnee_articles!B210)</f>
        <v/>
      </c>
      <c r="C210" s="2" t="str">
        <f>IF(Base_de_donnee_articles!C210="","",Base_de_donnee_articles!C210)</f>
        <v/>
      </c>
      <c r="D210" s="2" t="e">
        <f>IF(Inventaire!C210="","",Inventaire!C210/Base_de_donnee_articles!G210)</f>
        <v>#DIV/0!</v>
      </c>
      <c r="E210" s="2" t="str">
        <f>IF(B210="","",SUMIFS(Journal_entrees_et_sorties!D$8:D$400,Journal_entrees_et_sorties!C$8:C$400,C210))</f>
        <v/>
      </c>
      <c r="F210" s="2" t="e">
        <f>IF(Inventaire!D210="","",Inventaire!D210/Base_de_donnee_articles!G210)</f>
        <v>#DIV/0!</v>
      </c>
      <c r="G210" s="3" t="str">
        <f t="shared" si="3"/>
        <v/>
      </c>
    </row>
    <row r="211" spans="2:7" x14ac:dyDescent="0.35">
      <c r="B211" s="2" t="str">
        <f>IF(Base_de_donnee_articles!B211="","",Base_de_donnee_articles!B211)</f>
        <v/>
      </c>
      <c r="C211" s="2" t="str">
        <f>IF(Base_de_donnee_articles!C211="","",Base_de_donnee_articles!C211)</f>
        <v/>
      </c>
      <c r="D211" s="2" t="e">
        <f>IF(Inventaire!C211="","",Inventaire!C211/Base_de_donnee_articles!G211)</f>
        <v>#DIV/0!</v>
      </c>
      <c r="E211" s="2" t="str">
        <f>IF(B211="","",SUMIFS(Journal_entrees_et_sorties!D$8:D$400,Journal_entrees_et_sorties!C$8:C$400,C211))</f>
        <v/>
      </c>
      <c r="F211" s="2" t="e">
        <f>IF(Inventaire!D211="","",Inventaire!D211/Base_de_donnee_articles!G211)</f>
        <v>#DIV/0!</v>
      </c>
      <c r="G211" s="3" t="str">
        <f t="shared" si="3"/>
        <v/>
      </c>
    </row>
    <row r="212" spans="2:7" x14ac:dyDescent="0.35">
      <c r="B212" s="2" t="str">
        <f>IF(Base_de_donnee_articles!B212="","",Base_de_donnee_articles!B212)</f>
        <v/>
      </c>
      <c r="C212" s="2" t="str">
        <f>IF(Base_de_donnee_articles!C212="","",Base_de_donnee_articles!C212)</f>
        <v/>
      </c>
      <c r="D212" s="2" t="e">
        <f>IF(Inventaire!C212="","",Inventaire!C212/Base_de_donnee_articles!G212)</f>
        <v>#DIV/0!</v>
      </c>
      <c r="E212" s="2" t="str">
        <f>IF(B212="","",SUMIFS(Journal_entrees_et_sorties!D$8:D$400,Journal_entrees_et_sorties!C$8:C$400,C212))</f>
        <v/>
      </c>
      <c r="F212" s="2" t="e">
        <f>IF(Inventaire!D212="","",Inventaire!D212/Base_de_donnee_articles!G212)</f>
        <v>#DIV/0!</v>
      </c>
      <c r="G212" s="3" t="str">
        <f t="shared" si="3"/>
        <v/>
      </c>
    </row>
    <row r="213" spans="2:7" x14ac:dyDescent="0.35">
      <c r="B213" s="2" t="str">
        <f>IF(Base_de_donnee_articles!B213="","",Base_de_donnee_articles!B213)</f>
        <v/>
      </c>
      <c r="C213" s="2" t="str">
        <f>IF(Base_de_donnee_articles!C213="","",Base_de_donnee_articles!C213)</f>
        <v/>
      </c>
      <c r="D213" s="2" t="e">
        <f>IF(Inventaire!C213="","",Inventaire!C213/Base_de_donnee_articles!G213)</f>
        <v>#DIV/0!</v>
      </c>
      <c r="E213" s="2" t="str">
        <f>IF(B213="","",SUMIFS(Journal_entrees_et_sorties!D$8:D$400,Journal_entrees_et_sorties!C$8:C$400,C213))</f>
        <v/>
      </c>
      <c r="F213" s="2" t="e">
        <f>IF(Inventaire!D213="","",Inventaire!D213/Base_de_donnee_articles!G213)</f>
        <v>#DIV/0!</v>
      </c>
      <c r="G213" s="3" t="str">
        <f t="shared" si="3"/>
        <v/>
      </c>
    </row>
    <row r="214" spans="2:7" x14ac:dyDescent="0.35">
      <c r="B214" s="2" t="str">
        <f>IF(Base_de_donnee_articles!B214="","",Base_de_donnee_articles!B214)</f>
        <v/>
      </c>
      <c r="C214" s="2" t="str">
        <f>IF(Base_de_donnee_articles!C214="","",Base_de_donnee_articles!C214)</f>
        <v/>
      </c>
      <c r="D214" s="2" t="e">
        <f>IF(Inventaire!C214="","",Inventaire!C214/Base_de_donnee_articles!G214)</f>
        <v>#DIV/0!</v>
      </c>
      <c r="E214" s="2" t="str">
        <f>IF(B214="","",SUMIFS(Journal_entrees_et_sorties!D$8:D$400,Journal_entrees_et_sorties!C$8:C$400,C214))</f>
        <v/>
      </c>
      <c r="F214" s="2" t="e">
        <f>IF(Inventaire!D214="","",Inventaire!D214/Base_de_donnee_articles!G214)</f>
        <v>#DIV/0!</v>
      </c>
      <c r="G214" s="3" t="str">
        <f t="shared" si="3"/>
        <v/>
      </c>
    </row>
    <row r="215" spans="2:7" x14ac:dyDescent="0.35">
      <c r="B215" s="2" t="str">
        <f>IF(Base_de_donnee_articles!B215="","",Base_de_donnee_articles!B215)</f>
        <v/>
      </c>
      <c r="C215" s="2" t="str">
        <f>IF(Base_de_donnee_articles!C215="","",Base_de_donnee_articles!C215)</f>
        <v/>
      </c>
      <c r="D215" s="2" t="e">
        <f>IF(Inventaire!C215="","",Inventaire!C215/Base_de_donnee_articles!G215)</f>
        <v>#DIV/0!</v>
      </c>
      <c r="E215" s="2" t="str">
        <f>IF(B215="","",SUMIFS(Journal_entrees_et_sorties!D$8:D$400,Journal_entrees_et_sorties!C$8:C$400,C215))</f>
        <v/>
      </c>
      <c r="F215" s="2" t="e">
        <f>IF(Inventaire!D215="","",Inventaire!D215/Base_de_donnee_articles!G215)</f>
        <v>#DIV/0!</v>
      </c>
      <c r="G215" s="3" t="str">
        <f t="shared" si="3"/>
        <v/>
      </c>
    </row>
    <row r="216" spans="2:7" x14ac:dyDescent="0.35">
      <c r="B216" s="2" t="str">
        <f>IF(Base_de_donnee_articles!B216="","",Base_de_donnee_articles!B216)</f>
        <v/>
      </c>
      <c r="C216" s="2" t="str">
        <f>IF(Base_de_donnee_articles!C216="","",Base_de_donnee_articles!C216)</f>
        <v/>
      </c>
      <c r="D216" s="2" t="e">
        <f>IF(Inventaire!C216="","",Inventaire!C216/Base_de_donnee_articles!G216)</f>
        <v>#DIV/0!</v>
      </c>
      <c r="E216" s="2" t="str">
        <f>IF(B216="","",SUMIFS(Journal_entrees_et_sorties!D$8:D$400,Journal_entrees_et_sorties!C$8:C$400,C216))</f>
        <v/>
      </c>
      <c r="F216" s="2" t="e">
        <f>IF(Inventaire!D216="","",Inventaire!D216/Base_de_donnee_articles!G216)</f>
        <v>#DIV/0!</v>
      </c>
      <c r="G216" s="3" t="str">
        <f t="shared" si="3"/>
        <v/>
      </c>
    </row>
    <row r="217" spans="2:7" x14ac:dyDescent="0.35">
      <c r="B217" s="2" t="str">
        <f>IF(Base_de_donnee_articles!B217="","",Base_de_donnee_articles!B217)</f>
        <v/>
      </c>
      <c r="C217" s="2" t="str">
        <f>IF(Base_de_donnee_articles!C217="","",Base_de_donnee_articles!C217)</f>
        <v/>
      </c>
      <c r="D217" s="2" t="e">
        <f>IF(Inventaire!C217="","",Inventaire!C217/Base_de_donnee_articles!G217)</f>
        <v>#DIV/0!</v>
      </c>
      <c r="E217" s="2" t="str">
        <f>IF(B217="","",SUMIFS(Journal_entrees_et_sorties!D$8:D$400,Journal_entrees_et_sorties!C$8:C$400,C217))</f>
        <v/>
      </c>
      <c r="F217" s="2" t="e">
        <f>IF(Inventaire!D217="","",Inventaire!D217/Base_de_donnee_articles!G217)</f>
        <v>#DIV/0!</v>
      </c>
      <c r="G217" s="3" t="str">
        <f t="shared" si="3"/>
        <v/>
      </c>
    </row>
    <row r="218" spans="2:7" x14ac:dyDescent="0.35">
      <c r="B218" s="2" t="str">
        <f>IF(Base_de_donnee_articles!B218="","",Base_de_donnee_articles!B218)</f>
        <v/>
      </c>
      <c r="C218" s="2" t="str">
        <f>IF(Base_de_donnee_articles!C218="","",Base_de_donnee_articles!C218)</f>
        <v/>
      </c>
      <c r="D218" s="2" t="e">
        <f>IF(Inventaire!C218="","",Inventaire!C218/Base_de_donnee_articles!G218)</f>
        <v>#DIV/0!</v>
      </c>
      <c r="E218" s="2" t="str">
        <f>IF(B218="","",SUMIFS(Journal_entrees_et_sorties!D$8:D$400,Journal_entrees_et_sorties!C$8:C$400,C218))</f>
        <v/>
      </c>
      <c r="F218" s="2" t="e">
        <f>IF(Inventaire!D218="","",Inventaire!D218/Base_de_donnee_articles!G218)</f>
        <v>#DIV/0!</v>
      </c>
      <c r="G218" s="3" t="str">
        <f t="shared" si="3"/>
        <v/>
      </c>
    </row>
    <row r="219" spans="2:7" x14ac:dyDescent="0.35">
      <c r="B219" s="2" t="str">
        <f>IF(Base_de_donnee_articles!B219="","",Base_de_donnee_articles!B219)</f>
        <v/>
      </c>
      <c r="C219" s="2" t="str">
        <f>IF(Base_de_donnee_articles!C219="","",Base_de_donnee_articles!C219)</f>
        <v/>
      </c>
      <c r="D219" s="2" t="e">
        <f>IF(Inventaire!C219="","",Inventaire!C219/Base_de_donnee_articles!G219)</f>
        <v>#DIV/0!</v>
      </c>
      <c r="E219" s="2" t="str">
        <f>IF(B219="","",SUMIFS(Journal_entrees_et_sorties!D$8:D$400,Journal_entrees_et_sorties!C$8:C$400,C219))</f>
        <v/>
      </c>
      <c r="F219" s="2" t="e">
        <f>IF(Inventaire!D219="","",Inventaire!D219/Base_de_donnee_articles!G219)</f>
        <v>#DIV/0!</v>
      </c>
      <c r="G219" s="3" t="str">
        <f t="shared" si="3"/>
        <v/>
      </c>
    </row>
    <row r="220" spans="2:7" x14ac:dyDescent="0.35">
      <c r="B220" s="2" t="str">
        <f>IF(Base_de_donnee_articles!B220="","",Base_de_donnee_articles!B220)</f>
        <v/>
      </c>
      <c r="C220" s="2" t="str">
        <f>IF(Base_de_donnee_articles!C220="","",Base_de_donnee_articles!C220)</f>
        <v/>
      </c>
      <c r="D220" s="2" t="e">
        <f>IF(Inventaire!C220="","",Inventaire!C220/Base_de_donnee_articles!G220)</f>
        <v>#DIV/0!</v>
      </c>
      <c r="E220" s="2" t="str">
        <f>IF(B220="","",SUMIFS(Journal_entrees_et_sorties!D$8:D$400,Journal_entrees_et_sorties!C$8:C$400,C220))</f>
        <v/>
      </c>
      <c r="F220" s="2" t="e">
        <f>IF(Inventaire!D220="","",Inventaire!D220/Base_de_donnee_articles!G220)</f>
        <v>#DIV/0!</v>
      </c>
      <c r="G220" s="3" t="str">
        <f t="shared" si="3"/>
        <v/>
      </c>
    </row>
    <row r="221" spans="2:7" x14ac:dyDescent="0.35">
      <c r="B221" s="2" t="str">
        <f>IF(Base_de_donnee_articles!B221="","",Base_de_donnee_articles!B221)</f>
        <v/>
      </c>
      <c r="C221" s="2" t="str">
        <f>IF(Base_de_donnee_articles!C221="","",Base_de_donnee_articles!C221)</f>
        <v/>
      </c>
      <c r="D221" s="2" t="e">
        <f>IF(Inventaire!C221="","",Inventaire!C221/Base_de_donnee_articles!G221)</f>
        <v>#DIV/0!</v>
      </c>
      <c r="E221" s="2" t="str">
        <f>IF(B221="","",SUMIFS(Journal_entrees_et_sorties!D$8:D$400,Journal_entrees_et_sorties!C$8:C$400,C221))</f>
        <v/>
      </c>
      <c r="F221" s="2" t="e">
        <f>IF(Inventaire!D221="","",Inventaire!D221/Base_de_donnee_articles!G221)</f>
        <v>#DIV/0!</v>
      </c>
      <c r="G221" s="3" t="str">
        <f t="shared" si="3"/>
        <v/>
      </c>
    </row>
    <row r="222" spans="2:7" x14ac:dyDescent="0.35">
      <c r="B222" s="2" t="str">
        <f>IF(Base_de_donnee_articles!B222="","",Base_de_donnee_articles!B222)</f>
        <v/>
      </c>
      <c r="C222" s="2" t="str">
        <f>IF(Base_de_donnee_articles!C222="","",Base_de_donnee_articles!C222)</f>
        <v/>
      </c>
      <c r="D222" s="2" t="e">
        <f>IF(Inventaire!C222="","",Inventaire!C222/Base_de_donnee_articles!G222)</f>
        <v>#DIV/0!</v>
      </c>
      <c r="E222" s="2" t="str">
        <f>IF(B222="","",SUMIFS(Journal_entrees_et_sorties!D$8:D$400,Journal_entrees_et_sorties!C$8:C$400,C222))</f>
        <v/>
      </c>
      <c r="F222" s="2" t="e">
        <f>IF(Inventaire!D222="","",Inventaire!D222/Base_de_donnee_articles!G222)</f>
        <v>#DIV/0!</v>
      </c>
      <c r="G222" s="3" t="str">
        <f t="shared" si="3"/>
        <v/>
      </c>
    </row>
    <row r="223" spans="2:7" x14ac:dyDescent="0.35">
      <c r="B223" s="2" t="str">
        <f>IF(Base_de_donnee_articles!B223="","",Base_de_donnee_articles!B223)</f>
        <v/>
      </c>
      <c r="C223" s="2" t="str">
        <f>IF(Base_de_donnee_articles!C223="","",Base_de_donnee_articles!C223)</f>
        <v/>
      </c>
      <c r="D223" s="2" t="e">
        <f>IF(Inventaire!C223="","",Inventaire!C223/Base_de_donnee_articles!G223)</f>
        <v>#DIV/0!</v>
      </c>
      <c r="E223" s="2" t="str">
        <f>IF(B223="","",SUMIFS(Journal_entrees_et_sorties!D$8:D$400,Journal_entrees_et_sorties!C$8:C$400,C223))</f>
        <v/>
      </c>
      <c r="F223" s="2" t="e">
        <f>IF(Inventaire!D223="","",Inventaire!D223/Base_de_donnee_articles!G223)</f>
        <v>#DIV/0!</v>
      </c>
      <c r="G223" s="3" t="str">
        <f t="shared" si="3"/>
        <v/>
      </c>
    </row>
    <row r="224" spans="2:7" x14ac:dyDescent="0.35">
      <c r="B224" s="2" t="str">
        <f>IF(Base_de_donnee_articles!B224="","",Base_de_donnee_articles!B224)</f>
        <v/>
      </c>
      <c r="C224" s="2" t="str">
        <f>IF(Base_de_donnee_articles!C224="","",Base_de_donnee_articles!C224)</f>
        <v/>
      </c>
      <c r="D224" s="2" t="e">
        <f>IF(Inventaire!C224="","",Inventaire!C224/Base_de_donnee_articles!G224)</f>
        <v>#DIV/0!</v>
      </c>
      <c r="E224" s="2" t="str">
        <f>IF(B224="","",SUMIFS(Journal_entrees_et_sorties!D$8:D$400,Journal_entrees_et_sorties!C$8:C$400,C224))</f>
        <v/>
      </c>
      <c r="F224" s="2" t="e">
        <f>IF(Inventaire!D224="","",Inventaire!D224/Base_de_donnee_articles!G224)</f>
        <v>#DIV/0!</v>
      </c>
      <c r="G224" s="3" t="str">
        <f t="shared" si="3"/>
        <v/>
      </c>
    </row>
    <row r="225" spans="2:7" x14ac:dyDescent="0.35">
      <c r="B225" s="2" t="str">
        <f>IF(Base_de_donnee_articles!B225="","",Base_de_donnee_articles!B225)</f>
        <v/>
      </c>
      <c r="C225" s="2" t="str">
        <f>IF(Base_de_donnee_articles!C225="","",Base_de_donnee_articles!C225)</f>
        <v/>
      </c>
      <c r="D225" s="2" t="e">
        <f>IF(Inventaire!C225="","",Inventaire!C225/Base_de_donnee_articles!G225)</f>
        <v>#DIV/0!</v>
      </c>
      <c r="E225" s="2" t="str">
        <f>IF(B225="","",SUMIFS(Journal_entrees_et_sorties!D$8:D$400,Journal_entrees_et_sorties!C$8:C$400,C225))</f>
        <v/>
      </c>
      <c r="F225" s="2" t="e">
        <f>IF(Inventaire!D225="","",Inventaire!D225/Base_de_donnee_articles!G225)</f>
        <v>#DIV/0!</v>
      </c>
      <c r="G225" s="3" t="str">
        <f t="shared" si="3"/>
        <v/>
      </c>
    </row>
    <row r="226" spans="2:7" x14ac:dyDescent="0.35">
      <c r="B226" s="2" t="str">
        <f>IF(Base_de_donnee_articles!B226="","",Base_de_donnee_articles!B226)</f>
        <v/>
      </c>
      <c r="C226" s="2" t="str">
        <f>IF(Base_de_donnee_articles!C226="","",Base_de_donnee_articles!C226)</f>
        <v/>
      </c>
      <c r="D226" s="2" t="e">
        <f>IF(Inventaire!C226="","",Inventaire!C226/Base_de_donnee_articles!G226)</f>
        <v>#DIV/0!</v>
      </c>
      <c r="E226" s="2" t="str">
        <f>IF(B226="","",SUMIFS(Journal_entrees_et_sorties!D$8:D$400,Journal_entrees_et_sorties!C$8:C$400,C226))</f>
        <v/>
      </c>
      <c r="F226" s="2" t="e">
        <f>IF(Inventaire!D226="","",Inventaire!D226/Base_de_donnee_articles!G226)</f>
        <v>#DIV/0!</v>
      </c>
      <c r="G226" s="3" t="str">
        <f t="shared" si="3"/>
        <v/>
      </c>
    </row>
    <row r="227" spans="2:7" x14ac:dyDescent="0.35">
      <c r="B227" s="2" t="str">
        <f>IF(Base_de_donnee_articles!B227="","",Base_de_donnee_articles!B227)</f>
        <v/>
      </c>
      <c r="C227" s="2" t="str">
        <f>IF(Base_de_donnee_articles!C227="","",Base_de_donnee_articles!C227)</f>
        <v/>
      </c>
      <c r="D227" s="2" t="e">
        <f>IF(Inventaire!C227="","",Inventaire!C227/Base_de_donnee_articles!G227)</f>
        <v>#DIV/0!</v>
      </c>
      <c r="E227" s="2" t="str">
        <f>IF(B227="","",SUMIFS(Journal_entrees_et_sorties!D$8:D$400,Journal_entrees_et_sorties!C$8:C$400,C227))</f>
        <v/>
      </c>
      <c r="F227" s="2" t="e">
        <f>IF(Inventaire!D227="","",Inventaire!D227/Base_de_donnee_articles!G227)</f>
        <v>#DIV/0!</v>
      </c>
      <c r="G227" s="3" t="str">
        <f t="shared" si="3"/>
        <v/>
      </c>
    </row>
    <row r="228" spans="2:7" x14ac:dyDescent="0.35">
      <c r="B228" s="2" t="str">
        <f>IF(Base_de_donnee_articles!B228="","",Base_de_donnee_articles!B228)</f>
        <v/>
      </c>
      <c r="C228" s="2" t="str">
        <f>IF(Base_de_donnee_articles!C228="","",Base_de_donnee_articles!C228)</f>
        <v/>
      </c>
      <c r="D228" s="2" t="e">
        <f>IF(Inventaire!C228="","",Inventaire!C228/Base_de_donnee_articles!G228)</f>
        <v>#DIV/0!</v>
      </c>
      <c r="E228" s="2" t="str">
        <f>IF(B228="","",SUMIFS(Journal_entrees_et_sorties!D$8:D$400,Journal_entrees_et_sorties!C$8:C$400,C228))</f>
        <v/>
      </c>
      <c r="F228" s="2" t="e">
        <f>IF(Inventaire!D228="","",Inventaire!D228/Base_de_donnee_articles!G228)</f>
        <v>#DIV/0!</v>
      </c>
      <c r="G228" s="3" t="str">
        <f t="shared" si="3"/>
        <v/>
      </c>
    </row>
    <row r="229" spans="2:7" x14ac:dyDescent="0.35">
      <c r="B229" s="2" t="str">
        <f>IF(Base_de_donnee_articles!B229="","",Base_de_donnee_articles!B229)</f>
        <v/>
      </c>
      <c r="C229" s="2" t="str">
        <f>IF(Base_de_donnee_articles!C229="","",Base_de_donnee_articles!C229)</f>
        <v/>
      </c>
      <c r="D229" s="2" t="e">
        <f>IF(Inventaire!C229="","",Inventaire!C229/Base_de_donnee_articles!G229)</f>
        <v>#DIV/0!</v>
      </c>
      <c r="E229" s="2" t="str">
        <f>IF(B229="","",SUMIFS(Journal_entrees_et_sorties!D$8:D$400,Journal_entrees_et_sorties!C$8:C$400,C229))</f>
        <v/>
      </c>
      <c r="F229" s="2" t="e">
        <f>IF(Inventaire!D229="","",Inventaire!D229/Base_de_donnee_articles!G229)</f>
        <v>#DIV/0!</v>
      </c>
      <c r="G229" s="3" t="str">
        <f t="shared" si="3"/>
        <v/>
      </c>
    </row>
    <row r="230" spans="2:7" x14ac:dyDescent="0.35">
      <c r="B230" s="2" t="str">
        <f>IF(Base_de_donnee_articles!B230="","",Base_de_donnee_articles!B230)</f>
        <v/>
      </c>
      <c r="C230" s="2" t="str">
        <f>IF(Base_de_donnee_articles!C230="","",Base_de_donnee_articles!C230)</f>
        <v/>
      </c>
      <c r="D230" s="2" t="e">
        <f>IF(Inventaire!C230="","",Inventaire!C230/Base_de_donnee_articles!G230)</f>
        <v>#DIV/0!</v>
      </c>
      <c r="E230" s="2" t="str">
        <f>IF(B230="","",SUMIFS(Journal_entrees_et_sorties!D$8:D$400,Journal_entrees_et_sorties!C$8:C$400,C230))</f>
        <v/>
      </c>
      <c r="F230" s="2" t="e">
        <f>IF(Inventaire!D230="","",Inventaire!D230/Base_de_donnee_articles!G230)</f>
        <v>#DIV/0!</v>
      </c>
      <c r="G230" s="3" t="str">
        <f t="shared" si="3"/>
        <v/>
      </c>
    </row>
    <row r="231" spans="2:7" x14ac:dyDescent="0.35">
      <c r="B231" s="2" t="str">
        <f>IF(Base_de_donnee_articles!B231="","",Base_de_donnee_articles!B231)</f>
        <v/>
      </c>
      <c r="C231" s="2" t="str">
        <f>IF(Base_de_donnee_articles!C231="","",Base_de_donnee_articles!C231)</f>
        <v/>
      </c>
      <c r="D231" s="2" t="e">
        <f>IF(Inventaire!C231="","",Inventaire!C231/Base_de_donnee_articles!G231)</f>
        <v>#DIV/0!</v>
      </c>
      <c r="E231" s="2" t="str">
        <f>IF(B231="","",SUMIFS(Journal_entrees_et_sorties!D$8:D$400,Journal_entrees_et_sorties!C$8:C$400,C231))</f>
        <v/>
      </c>
      <c r="F231" s="2" t="e">
        <f>IF(Inventaire!D231="","",Inventaire!D231/Base_de_donnee_articles!G231)</f>
        <v>#DIV/0!</v>
      </c>
      <c r="G231" s="3" t="str">
        <f t="shared" si="3"/>
        <v/>
      </c>
    </row>
    <row r="232" spans="2:7" x14ac:dyDescent="0.35">
      <c r="B232" s="2" t="str">
        <f>IF(Base_de_donnee_articles!B232="","",Base_de_donnee_articles!B232)</f>
        <v/>
      </c>
      <c r="C232" s="2" t="str">
        <f>IF(Base_de_donnee_articles!C232="","",Base_de_donnee_articles!C232)</f>
        <v/>
      </c>
      <c r="D232" s="2" t="e">
        <f>IF(Inventaire!C232="","",Inventaire!C232/Base_de_donnee_articles!G232)</f>
        <v>#DIV/0!</v>
      </c>
      <c r="E232" s="2" t="str">
        <f>IF(B232="","",SUMIFS(Journal_entrees_et_sorties!D$8:D$400,Journal_entrees_et_sorties!C$8:C$400,C232))</f>
        <v/>
      </c>
      <c r="F232" s="2" t="e">
        <f>IF(Inventaire!D232="","",Inventaire!D232/Base_de_donnee_articles!G232)</f>
        <v>#DIV/0!</v>
      </c>
      <c r="G232" s="3" t="str">
        <f t="shared" si="3"/>
        <v/>
      </c>
    </row>
    <row r="233" spans="2:7" x14ac:dyDescent="0.35">
      <c r="B233" s="2" t="str">
        <f>IF(Base_de_donnee_articles!B233="","",Base_de_donnee_articles!B233)</f>
        <v/>
      </c>
      <c r="C233" s="2" t="str">
        <f>IF(Base_de_donnee_articles!C233="","",Base_de_donnee_articles!C233)</f>
        <v/>
      </c>
      <c r="D233" s="2" t="e">
        <f>IF(Inventaire!C233="","",Inventaire!C233/Base_de_donnee_articles!G233)</f>
        <v>#DIV/0!</v>
      </c>
      <c r="E233" s="2" t="str">
        <f>IF(B233="","",SUMIFS(Journal_entrees_et_sorties!D$8:D$400,Journal_entrees_et_sorties!C$8:C$400,C233))</f>
        <v/>
      </c>
      <c r="F233" s="2" t="e">
        <f>IF(Inventaire!D233="","",Inventaire!D233/Base_de_donnee_articles!G233)</f>
        <v>#DIV/0!</v>
      </c>
      <c r="G233" s="3" t="str">
        <f t="shared" si="3"/>
        <v/>
      </c>
    </row>
    <row r="234" spans="2:7" x14ac:dyDescent="0.35">
      <c r="B234" s="2" t="str">
        <f>IF(Base_de_donnee_articles!B234="","",Base_de_donnee_articles!B234)</f>
        <v/>
      </c>
      <c r="C234" s="2" t="str">
        <f>IF(Base_de_donnee_articles!C234="","",Base_de_donnee_articles!C234)</f>
        <v/>
      </c>
      <c r="D234" s="2" t="e">
        <f>IF(Inventaire!C234="","",Inventaire!C234/Base_de_donnee_articles!G234)</f>
        <v>#DIV/0!</v>
      </c>
      <c r="E234" s="2" t="str">
        <f>IF(B234="","",SUMIFS(Journal_entrees_et_sorties!D$8:D$400,Journal_entrees_et_sorties!C$8:C$400,C234))</f>
        <v/>
      </c>
      <c r="F234" s="2" t="e">
        <f>IF(Inventaire!D234="","",Inventaire!D234/Base_de_donnee_articles!G234)</f>
        <v>#DIV/0!</v>
      </c>
      <c r="G234" s="3" t="str">
        <f t="shared" si="3"/>
        <v/>
      </c>
    </row>
    <row r="235" spans="2:7" x14ac:dyDescent="0.35">
      <c r="B235" s="2" t="str">
        <f>IF(Base_de_donnee_articles!B235="","",Base_de_donnee_articles!B235)</f>
        <v/>
      </c>
      <c r="C235" s="2" t="str">
        <f>IF(Base_de_donnee_articles!C235="","",Base_de_donnee_articles!C235)</f>
        <v/>
      </c>
      <c r="D235" s="2" t="e">
        <f>IF(Inventaire!C235="","",Inventaire!C235/Base_de_donnee_articles!G235)</f>
        <v>#DIV/0!</v>
      </c>
      <c r="E235" s="2" t="str">
        <f>IF(B235="","",SUMIFS(Journal_entrees_et_sorties!D$8:D$400,Journal_entrees_et_sorties!C$8:C$400,C235))</f>
        <v/>
      </c>
      <c r="F235" s="2" t="e">
        <f>IF(Inventaire!D235="","",Inventaire!D235/Base_de_donnee_articles!G235)</f>
        <v>#DIV/0!</v>
      </c>
      <c r="G235" s="3" t="str">
        <f t="shared" si="3"/>
        <v/>
      </c>
    </row>
    <row r="236" spans="2:7" x14ac:dyDescent="0.35">
      <c r="B236" s="2" t="str">
        <f>IF(Base_de_donnee_articles!B236="","",Base_de_donnee_articles!B236)</f>
        <v/>
      </c>
      <c r="C236" s="2" t="str">
        <f>IF(Base_de_donnee_articles!C236="","",Base_de_donnee_articles!C236)</f>
        <v/>
      </c>
      <c r="D236" s="2" t="e">
        <f>IF(Inventaire!C236="","",Inventaire!C236/Base_de_donnee_articles!G236)</f>
        <v>#DIV/0!</v>
      </c>
      <c r="E236" s="2" t="str">
        <f>IF(B236="","",SUMIFS(Journal_entrees_et_sorties!D$8:D$400,Journal_entrees_et_sorties!C$8:C$400,C236))</f>
        <v/>
      </c>
      <c r="F236" s="2" t="e">
        <f>IF(Inventaire!D236="","",Inventaire!D236/Base_de_donnee_articles!G236)</f>
        <v>#DIV/0!</v>
      </c>
      <c r="G236" s="3" t="str">
        <f t="shared" si="3"/>
        <v/>
      </c>
    </row>
    <row r="237" spans="2:7" x14ac:dyDescent="0.35">
      <c r="B237" s="2" t="str">
        <f>IF(Base_de_donnee_articles!B237="","",Base_de_donnee_articles!B237)</f>
        <v/>
      </c>
      <c r="C237" s="2" t="str">
        <f>IF(Base_de_donnee_articles!C237="","",Base_de_donnee_articles!C237)</f>
        <v/>
      </c>
      <c r="D237" s="2" t="e">
        <f>IF(Inventaire!C237="","",Inventaire!C237/Base_de_donnee_articles!G237)</f>
        <v>#DIV/0!</v>
      </c>
      <c r="E237" s="2" t="str">
        <f>IF(B237="","",SUMIFS(Journal_entrees_et_sorties!D$8:D$400,Journal_entrees_et_sorties!C$8:C$400,C237))</f>
        <v/>
      </c>
      <c r="F237" s="2" t="e">
        <f>IF(Inventaire!D237="","",Inventaire!D237/Base_de_donnee_articles!G237)</f>
        <v>#DIV/0!</v>
      </c>
      <c r="G237" s="3" t="str">
        <f t="shared" si="3"/>
        <v/>
      </c>
    </row>
    <row r="238" spans="2:7" x14ac:dyDescent="0.35">
      <c r="B238" s="2" t="str">
        <f>IF(Base_de_donnee_articles!B238="","",Base_de_donnee_articles!B238)</f>
        <v/>
      </c>
      <c r="C238" s="2" t="str">
        <f>IF(Base_de_donnee_articles!C238="","",Base_de_donnee_articles!C238)</f>
        <v/>
      </c>
      <c r="D238" s="2" t="e">
        <f>IF(Inventaire!C238="","",Inventaire!C238/Base_de_donnee_articles!G238)</f>
        <v>#DIV/0!</v>
      </c>
      <c r="E238" s="2" t="str">
        <f>IF(B238="","",SUMIFS(Journal_entrees_et_sorties!D$8:D$400,Journal_entrees_et_sorties!C$8:C$400,C238))</f>
        <v/>
      </c>
      <c r="F238" s="2" t="e">
        <f>IF(Inventaire!D238="","",Inventaire!D238/Base_de_donnee_articles!G238)</f>
        <v>#DIV/0!</v>
      </c>
      <c r="G238" s="3" t="str">
        <f t="shared" si="3"/>
        <v/>
      </c>
    </row>
    <row r="239" spans="2:7" x14ac:dyDescent="0.35">
      <c r="B239" s="2" t="str">
        <f>IF(Base_de_donnee_articles!B239="","",Base_de_donnee_articles!B239)</f>
        <v/>
      </c>
      <c r="C239" s="2" t="str">
        <f>IF(Base_de_donnee_articles!C239="","",Base_de_donnee_articles!C239)</f>
        <v/>
      </c>
      <c r="D239" s="2" t="e">
        <f>IF(Inventaire!C239="","",Inventaire!C239/Base_de_donnee_articles!G239)</f>
        <v>#DIV/0!</v>
      </c>
      <c r="E239" s="2" t="str">
        <f>IF(B239="","",SUMIFS(Journal_entrees_et_sorties!D$8:D$400,Journal_entrees_et_sorties!C$8:C$400,C239))</f>
        <v/>
      </c>
      <c r="F239" s="2" t="e">
        <f>IF(Inventaire!D239="","",Inventaire!D239/Base_de_donnee_articles!G239)</f>
        <v>#DIV/0!</v>
      </c>
      <c r="G239" s="3" t="str">
        <f t="shared" si="3"/>
        <v/>
      </c>
    </row>
    <row r="240" spans="2:7" x14ac:dyDescent="0.35">
      <c r="B240" s="2" t="str">
        <f>IF(Base_de_donnee_articles!B240="","",Base_de_donnee_articles!B240)</f>
        <v/>
      </c>
      <c r="C240" s="2" t="str">
        <f>IF(Base_de_donnee_articles!C240="","",Base_de_donnee_articles!C240)</f>
        <v/>
      </c>
      <c r="D240" s="2" t="e">
        <f>IF(Inventaire!C240="","",Inventaire!C240/Base_de_donnee_articles!G240)</f>
        <v>#DIV/0!</v>
      </c>
      <c r="E240" s="2" t="str">
        <f>IF(B240="","",SUMIFS(Journal_entrees_et_sorties!D$8:D$400,Journal_entrees_et_sorties!C$8:C$400,C240))</f>
        <v/>
      </c>
      <c r="F240" s="2" t="e">
        <f>IF(Inventaire!D240="","",Inventaire!D240/Base_de_donnee_articles!G240)</f>
        <v>#DIV/0!</v>
      </c>
      <c r="G240" s="3" t="str">
        <f t="shared" si="3"/>
        <v/>
      </c>
    </row>
    <row r="241" spans="2:7" x14ac:dyDescent="0.35">
      <c r="B241" s="2" t="str">
        <f>IF(Base_de_donnee_articles!B241="","",Base_de_donnee_articles!B241)</f>
        <v/>
      </c>
      <c r="C241" s="2" t="str">
        <f>IF(Base_de_donnee_articles!C241="","",Base_de_donnee_articles!C241)</f>
        <v/>
      </c>
      <c r="D241" s="2" t="e">
        <f>IF(Inventaire!C241="","",Inventaire!C241/Base_de_donnee_articles!G241)</f>
        <v>#DIV/0!</v>
      </c>
      <c r="E241" s="2" t="str">
        <f>IF(B241="","",SUMIFS(Journal_entrees_et_sorties!D$8:D$400,Journal_entrees_et_sorties!C$8:C$400,C241))</f>
        <v/>
      </c>
      <c r="F241" s="2" t="e">
        <f>IF(Inventaire!D241="","",Inventaire!D241/Base_de_donnee_articles!G241)</f>
        <v>#DIV/0!</v>
      </c>
      <c r="G241" s="3" t="str">
        <f t="shared" si="3"/>
        <v/>
      </c>
    </row>
    <row r="242" spans="2:7" x14ac:dyDescent="0.35">
      <c r="B242" s="2" t="str">
        <f>IF(Base_de_donnee_articles!B242="","",Base_de_donnee_articles!B242)</f>
        <v/>
      </c>
      <c r="C242" s="2" t="str">
        <f>IF(Base_de_donnee_articles!C242="","",Base_de_donnee_articles!C242)</f>
        <v/>
      </c>
      <c r="D242" s="2" t="e">
        <f>IF(Inventaire!C242="","",Inventaire!C242/Base_de_donnee_articles!G242)</f>
        <v>#DIV/0!</v>
      </c>
      <c r="E242" s="2" t="str">
        <f>IF(B242="","",SUMIFS(Journal_entrees_et_sorties!D$8:D$400,Journal_entrees_et_sorties!C$8:C$400,C242))</f>
        <v/>
      </c>
      <c r="F242" s="2" t="e">
        <f>IF(Inventaire!D242="","",Inventaire!D242/Base_de_donnee_articles!G242)</f>
        <v>#DIV/0!</v>
      </c>
      <c r="G242" s="3" t="str">
        <f t="shared" si="3"/>
        <v/>
      </c>
    </row>
    <row r="243" spans="2:7" x14ac:dyDescent="0.35">
      <c r="B243" s="2" t="str">
        <f>IF(Base_de_donnee_articles!B243="","",Base_de_donnee_articles!B243)</f>
        <v/>
      </c>
      <c r="C243" s="2" t="str">
        <f>IF(Base_de_donnee_articles!C243="","",Base_de_donnee_articles!C243)</f>
        <v/>
      </c>
      <c r="D243" s="2" t="e">
        <f>IF(Inventaire!C243="","",Inventaire!C243/Base_de_donnee_articles!G243)</f>
        <v>#DIV/0!</v>
      </c>
      <c r="E243" s="2" t="str">
        <f>IF(B243="","",SUMIFS(Journal_entrees_et_sorties!D$8:D$400,Journal_entrees_et_sorties!C$8:C$400,C243))</f>
        <v/>
      </c>
      <c r="F243" s="2" t="e">
        <f>IF(Inventaire!D243="","",Inventaire!D243/Base_de_donnee_articles!G243)</f>
        <v>#DIV/0!</v>
      </c>
      <c r="G243" s="3" t="str">
        <f t="shared" si="3"/>
        <v/>
      </c>
    </row>
    <row r="244" spans="2:7" x14ac:dyDescent="0.35">
      <c r="B244" s="2" t="str">
        <f>IF(Base_de_donnee_articles!B244="","",Base_de_donnee_articles!B244)</f>
        <v/>
      </c>
      <c r="C244" s="2" t="str">
        <f>IF(Base_de_donnee_articles!C244="","",Base_de_donnee_articles!C244)</f>
        <v/>
      </c>
      <c r="D244" s="2" t="e">
        <f>IF(Inventaire!C244="","",Inventaire!C244/Base_de_donnee_articles!G244)</f>
        <v>#DIV/0!</v>
      </c>
      <c r="E244" s="2" t="str">
        <f>IF(B244="","",SUMIFS(Journal_entrees_et_sorties!D$8:D$400,Journal_entrees_et_sorties!C$8:C$400,C244))</f>
        <v/>
      </c>
      <c r="F244" s="2" t="e">
        <f>IF(Inventaire!D244="","",Inventaire!D244/Base_de_donnee_articles!G244)</f>
        <v>#DIV/0!</v>
      </c>
      <c r="G244" s="3" t="str">
        <f t="shared" si="3"/>
        <v/>
      </c>
    </row>
    <row r="245" spans="2:7" x14ac:dyDescent="0.35">
      <c r="B245" s="2" t="str">
        <f>IF(Base_de_donnee_articles!B245="","",Base_de_donnee_articles!B245)</f>
        <v/>
      </c>
      <c r="C245" s="2" t="str">
        <f>IF(Base_de_donnee_articles!C245="","",Base_de_donnee_articles!C245)</f>
        <v/>
      </c>
      <c r="D245" s="2" t="e">
        <f>IF(Inventaire!C245="","",Inventaire!C245/Base_de_donnee_articles!G245)</f>
        <v>#DIV/0!</v>
      </c>
      <c r="E245" s="2" t="str">
        <f>IF(B245="","",SUMIFS(Journal_entrees_et_sorties!D$8:D$400,Journal_entrees_et_sorties!C$8:C$400,C245))</f>
        <v/>
      </c>
      <c r="F245" s="2" t="e">
        <f>IF(Inventaire!D245="","",Inventaire!D245/Base_de_donnee_articles!G245)</f>
        <v>#DIV/0!</v>
      </c>
      <c r="G245" s="3" t="str">
        <f t="shared" si="3"/>
        <v/>
      </c>
    </row>
    <row r="246" spans="2:7" x14ac:dyDescent="0.35">
      <c r="B246" s="2" t="str">
        <f>IF(Base_de_donnee_articles!B246="","",Base_de_donnee_articles!B246)</f>
        <v/>
      </c>
      <c r="C246" s="2" t="str">
        <f>IF(Base_de_donnee_articles!C246="","",Base_de_donnee_articles!C246)</f>
        <v/>
      </c>
      <c r="D246" s="2" t="e">
        <f>IF(Inventaire!C246="","",Inventaire!C246/Base_de_donnee_articles!G246)</f>
        <v>#DIV/0!</v>
      </c>
      <c r="E246" s="2" t="str">
        <f>IF(B246="","",SUMIFS(Journal_entrees_et_sorties!D$8:D$400,Journal_entrees_et_sorties!C$8:C$400,C246))</f>
        <v/>
      </c>
      <c r="F246" s="2" t="e">
        <f>IF(Inventaire!D246="","",Inventaire!D246/Base_de_donnee_articles!G246)</f>
        <v>#DIV/0!</v>
      </c>
      <c r="G246" s="3" t="str">
        <f t="shared" si="3"/>
        <v/>
      </c>
    </row>
    <row r="247" spans="2:7" x14ac:dyDescent="0.35">
      <c r="B247" s="2" t="str">
        <f>IF(Base_de_donnee_articles!B247="","",Base_de_donnee_articles!B247)</f>
        <v/>
      </c>
      <c r="C247" s="2" t="str">
        <f>IF(Base_de_donnee_articles!C247="","",Base_de_donnee_articles!C247)</f>
        <v/>
      </c>
      <c r="D247" s="2" t="e">
        <f>IF(Inventaire!C247="","",Inventaire!C247/Base_de_donnee_articles!G247)</f>
        <v>#DIV/0!</v>
      </c>
      <c r="E247" s="2" t="str">
        <f>IF(B247="","",SUMIFS(Journal_entrees_et_sorties!D$8:D$400,Journal_entrees_et_sorties!C$8:C$400,C247))</f>
        <v/>
      </c>
      <c r="F247" s="2" t="e">
        <f>IF(Inventaire!D247="","",Inventaire!D247/Base_de_donnee_articles!G247)</f>
        <v>#DIV/0!</v>
      </c>
      <c r="G247" s="3" t="str">
        <f t="shared" si="3"/>
        <v/>
      </c>
    </row>
    <row r="248" spans="2:7" x14ac:dyDescent="0.35">
      <c r="B248" s="2" t="str">
        <f>IF(Base_de_donnee_articles!B248="","",Base_de_donnee_articles!B248)</f>
        <v/>
      </c>
      <c r="C248" s="2" t="str">
        <f>IF(Base_de_donnee_articles!C248="","",Base_de_donnee_articles!C248)</f>
        <v/>
      </c>
      <c r="D248" s="2" t="e">
        <f>IF(Inventaire!C248="","",Inventaire!C248/Base_de_donnee_articles!G248)</f>
        <v>#DIV/0!</v>
      </c>
      <c r="E248" s="2" t="str">
        <f>IF(B248="","",SUMIFS(Journal_entrees_et_sorties!D$8:D$400,Journal_entrees_et_sorties!C$8:C$400,C248))</f>
        <v/>
      </c>
      <c r="F248" s="2" t="e">
        <f>IF(Inventaire!D248="","",Inventaire!D248/Base_de_donnee_articles!G248)</f>
        <v>#DIV/0!</v>
      </c>
      <c r="G248" s="3" t="str">
        <f t="shared" si="3"/>
        <v/>
      </c>
    </row>
    <row r="249" spans="2:7" x14ac:dyDescent="0.35">
      <c r="B249" s="2" t="str">
        <f>IF(Base_de_donnee_articles!B249="","",Base_de_donnee_articles!B249)</f>
        <v/>
      </c>
      <c r="C249" s="2" t="str">
        <f>IF(Base_de_donnee_articles!C249="","",Base_de_donnee_articles!C249)</f>
        <v/>
      </c>
      <c r="D249" s="2" t="e">
        <f>IF(Inventaire!C249="","",Inventaire!C249/Base_de_donnee_articles!G249)</f>
        <v>#DIV/0!</v>
      </c>
      <c r="E249" s="2" t="str">
        <f>IF(B249="","",SUMIFS(Journal_entrees_et_sorties!D$8:D$400,Journal_entrees_et_sorties!C$8:C$400,C249))</f>
        <v/>
      </c>
      <c r="F249" s="2" t="e">
        <f>IF(Inventaire!D249="","",Inventaire!D249/Base_de_donnee_articles!G249)</f>
        <v>#DIV/0!</v>
      </c>
      <c r="G249" s="3" t="str">
        <f t="shared" si="3"/>
        <v/>
      </c>
    </row>
    <row r="250" spans="2:7" x14ac:dyDescent="0.35">
      <c r="B250" s="2" t="str">
        <f>IF(Base_de_donnee_articles!B250="","",Base_de_donnee_articles!B250)</f>
        <v/>
      </c>
      <c r="C250" s="2" t="str">
        <f>IF(Base_de_donnee_articles!C250="","",Base_de_donnee_articles!C250)</f>
        <v/>
      </c>
      <c r="D250" s="2" t="e">
        <f>IF(Inventaire!C250="","",Inventaire!C250/Base_de_donnee_articles!G250)</f>
        <v>#DIV/0!</v>
      </c>
      <c r="E250" s="2" t="str">
        <f>IF(B250="","",SUMIFS(Journal_entrees_et_sorties!D$8:D$400,Journal_entrees_et_sorties!C$8:C$400,C250))</f>
        <v/>
      </c>
      <c r="F250" s="2" t="e">
        <f>IF(Inventaire!D250="","",Inventaire!D250/Base_de_donnee_articles!G250)</f>
        <v>#DIV/0!</v>
      </c>
      <c r="G250" s="3" t="str">
        <f t="shared" si="3"/>
        <v/>
      </c>
    </row>
    <row r="251" spans="2:7" x14ac:dyDescent="0.35">
      <c r="B251" s="2" t="str">
        <f>IF(Base_de_donnee_articles!B251="","",Base_de_donnee_articles!B251)</f>
        <v/>
      </c>
      <c r="C251" s="2" t="str">
        <f>IF(Base_de_donnee_articles!C251="","",Base_de_donnee_articles!C251)</f>
        <v/>
      </c>
      <c r="D251" s="2" t="e">
        <f>IF(Inventaire!C251="","",Inventaire!C251/Base_de_donnee_articles!G251)</f>
        <v>#DIV/0!</v>
      </c>
      <c r="E251" s="2" t="str">
        <f>IF(B251="","",SUMIFS(Journal_entrees_et_sorties!D$8:D$400,Journal_entrees_et_sorties!C$8:C$400,C251))</f>
        <v/>
      </c>
      <c r="F251" s="2" t="e">
        <f>IF(Inventaire!D251="","",Inventaire!D251/Base_de_donnee_articles!G251)</f>
        <v>#DIV/0!</v>
      </c>
      <c r="G251" s="3" t="str">
        <f t="shared" si="3"/>
        <v/>
      </c>
    </row>
    <row r="252" spans="2:7" x14ac:dyDescent="0.35">
      <c r="B252" s="2" t="str">
        <f>IF(Base_de_donnee_articles!B252="","",Base_de_donnee_articles!B252)</f>
        <v/>
      </c>
      <c r="C252" s="2" t="str">
        <f>IF(Base_de_donnee_articles!C252="","",Base_de_donnee_articles!C252)</f>
        <v/>
      </c>
      <c r="D252" s="2" t="e">
        <f>IF(Inventaire!C252="","",Inventaire!C252/Base_de_donnee_articles!G252)</f>
        <v>#DIV/0!</v>
      </c>
      <c r="E252" s="2" t="str">
        <f>IF(B252="","",SUMIFS(Journal_entrees_et_sorties!D$8:D$400,Journal_entrees_et_sorties!C$8:C$400,C252))</f>
        <v/>
      </c>
      <c r="F252" s="2" t="e">
        <f>IF(Inventaire!D252="","",Inventaire!D252/Base_de_donnee_articles!G252)</f>
        <v>#DIV/0!</v>
      </c>
      <c r="G252" s="3" t="str">
        <f t="shared" si="3"/>
        <v/>
      </c>
    </row>
    <row r="253" spans="2:7" x14ac:dyDescent="0.35">
      <c r="B253" s="2" t="str">
        <f>IF(Base_de_donnee_articles!B253="","",Base_de_donnee_articles!B253)</f>
        <v/>
      </c>
      <c r="C253" s="2" t="str">
        <f>IF(Base_de_donnee_articles!C253="","",Base_de_donnee_articles!C253)</f>
        <v/>
      </c>
      <c r="D253" s="2" t="e">
        <f>IF(Inventaire!C253="","",Inventaire!C253/Base_de_donnee_articles!G253)</f>
        <v>#DIV/0!</v>
      </c>
      <c r="E253" s="2" t="str">
        <f>IF(B253="","",SUMIFS(Journal_entrees_et_sorties!D$8:D$400,Journal_entrees_et_sorties!C$8:C$400,C253))</f>
        <v/>
      </c>
      <c r="F253" s="2" t="e">
        <f>IF(Inventaire!D253="","",Inventaire!D253/Base_de_donnee_articles!G253)</f>
        <v>#DIV/0!</v>
      </c>
      <c r="G253" s="3" t="str">
        <f t="shared" si="3"/>
        <v/>
      </c>
    </row>
    <row r="254" spans="2:7" x14ac:dyDescent="0.35">
      <c r="B254" s="2" t="str">
        <f>IF(Base_de_donnee_articles!B254="","",Base_de_donnee_articles!B254)</f>
        <v/>
      </c>
      <c r="C254" s="2" t="str">
        <f>IF(Base_de_donnee_articles!C254="","",Base_de_donnee_articles!C254)</f>
        <v/>
      </c>
      <c r="D254" s="2" t="e">
        <f>IF(Inventaire!C254="","",Inventaire!C254/Base_de_donnee_articles!G254)</f>
        <v>#DIV/0!</v>
      </c>
      <c r="E254" s="2" t="str">
        <f>IF(B254="","",SUMIFS(Journal_entrees_et_sorties!D$8:D$400,Journal_entrees_et_sorties!C$8:C$400,C254))</f>
        <v/>
      </c>
      <c r="F254" s="2" t="e">
        <f>IF(Inventaire!D254="","",Inventaire!D254/Base_de_donnee_articles!G254)</f>
        <v>#DIV/0!</v>
      </c>
      <c r="G254" s="3" t="str">
        <f t="shared" si="3"/>
        <v/>
      </c>
    </row>
    <row r="255" spans="2:7" x14ac:dyDescent="0.35">
      <c r="B255" s="2" t="str">
        <f>IF(Base_de_donnee_articles!B255="","",Base_de_donnee_articles!B255)</f>
        <v/>
      </c>
      <c r="C255" s="2" t="str">
        <f>IF(Base_de_donnee_articles!C255="","",Base_de_donnee_articles!C255)</f>
        <v/>
      </c>
      <c r="D255" s="2" t="e">
        <f>IF(Inventaire!C255="","",Inventaire!C255/Base_de_donnee_articles!G255)</f>
        <v>#DIV/0!</v>
      </c>
      <c r="E255" s="2" t="str">
        <f>IF(B255="","",SUMIFS(Journal_entrees_et_sorties!D$8:D$400,Journal_entrees_et_sorties!C$8:C$400,C255))</f>
        <v/>
      </c>
      <c r="F255" s="2" t="e">
        <f>IF(Inventaire!D255="","",Inventaire!D255/Base_de_donnee_articles!G255)</f>
        <v>#DIV/0!</v>
      </c>
      <c r="G255" s="3" t="str">
        <f t="shared" si="3"/>
        <v/>
      </c>
    </row>
    <row r="256" spans="2:7" x14ac:dyDescent="0.35">
      <c r="B256" s="2" t="str">
        <f>IF(Base_de_donnee_articles!B256="","",Base_de_donnee_articles!B256)</f>
        <v/>
      </c>
      <c r="C256" s="2" t="str">
        <f>IF(Base_de_donnee_articles!C256="","",Base_de_donnee_articles!C256)</f>
        <v/>
      </c>
      <c r="D256" s="2" t="e">
        <f>IF(Inventaire!C256="","",Inventaire!C256/Base_de_donnee_articles!G256)</f>
        <v>#DIV/0!</v>
      </c>
      <c r="E256" s="2" t="str">
        <f>IF(B256="","",SUMIFS(Journal_entrees_et_sorties!D$8:D$400,Journal_entrees_et_sorties!C$8:C$400,C256))</f>
        <v/>
      </c>
      <c r="F256" s="2" t="e">
        <f>IF(Inventaire!D256="","",Inventaire!D256/Base_de_donnee_articles!G256)</f>
        <v>#DIV/0!</v>
      </c>
      <c r="G256" s="3" t="str">
        <f t="shared" si="3"/>
        <v/>
      </c>
    </row>
    <row r="257" spans="2:7" x14ac:dyDescent="0.35">
      <c r="B257" s="2" t="str">
        <f>IF(Base_de_donnee_articles!B257="","",Base_de_donnee_articles!B257)</f>
        <v/>
      </c>
      <c r="C257" s="2" t="str">
        <f>IF(Base_de_donnee_articles!C257="","",Base_de_donnee_articles!C257)</f>
        <v/>
      </c>
      <c r="D257" s="2" t="e">
        <f>IF(Inventaire!C257="","",Inventaire!C257/Base_de_donnee_articles!G257)</f>
        <v>#DIV/0!</v>
      </c>
      <c r="E257" s="2" t="str">
        <f>IF(B257="","",SUMIFS(Journal_entrees_et_sorties!D$8:D$400,Journal_entrees_et_sorties!C$8:C$400,C257))</f>
        <v/>
      </c>
      <c r="F257" s="2" t="e">
        <f>IF(Inventaire!D257="","",Inventaire!D257/Base_de_donnee_articles!G257)</f>
        <v>#DIV/0!</v>
      </c>
      <c r="G257" s="3" t="str">
        <f t="shared" si="3"/>
        <v/>
      </c>
    </row>
    <row r="258" spans="2:7" x14ac:dyDescent="0.35">
      <c r="B258" s="2" t="str">
        <f>IF(Base_de_donnee_articles!B258="","",Base_de_donnee_articles!B258)</f>
        <v/>
      </c>
      <c r="C258" s="2" t="str">
        <f>IF(Base_de_donnee_articles!C258="","",Base_de_donnee_articles!C258)</f>
        <v/>
      </c>
      <c r="D258" s="2" t="e">
        <f>IF(Inventaire!C258="","",Inventaire!C258/Base_de_donnee_articles!G258)</f>
        <v>#DIV/0!</v>
      </c>
      <c r="E258" s="2" t="str">
        <f>IF(B258="","",SUMIFS(Journal_entrees_et_sorties!D$8:D$400,Journal_entrees_et_sorties!C$8:C$400,C258))</f>
        <v/>
      </c>
      <c r="F258" s="2" t="e">
        <f>IF(Inventaire!D258="","",Inventaire!D258/Base_de_donnee_articles!G258)</f>
        <v>#DIV/0!</v>
      </c>
      <c r="G258" s="3" t="str">
        <f t="shared" si="3"/>
        <v/>
      </c>
    </row>
    <row r="259" spans="2:7" x14ac:dyDescent="0.35">
      <c r="B259" s="2" t="str">
        <f>IF(Base_de_donnee_articles!B259="","",Base_de_donnee_articles!B259)</f>
        <v/>
      </c>
      <c r="C259" s="2" t="str">
        <f>IF(Base_de_donnee_articles!C259="","",Base_de_donnee_articles!C259)</f>
        <v/>
      </c>
      <c r="D259" s="2" t="e">
        <f>IF(Inventaire!C259="","",Inventaire!C259/Base_de_donnee_articles!G259)</f>
        <v>#DIV/0!</v>
      </c>
      <c r="E259" s="2" t="str">
        <f>IF(B259="","",SUMIFS(Journal_entrees_et_sorties!D$8:D$400,Journal_entrees_et_sorties!C$8:C$400,C259))</f>
        <v/>
      </c>
      <c r="F259" s="2" t="e">
        <f>IF(Inventaire!D259="","",Inventaire!D259/Base_de_donnee_articles!G259)</f>
        <v>#DIV/0!</v>
      </c>
      <c r="G259" s="3" t="str">
        <f t="shared" si="3"/>
        <v/>
      </c>
    </row>
    <row r="260" spans="2:7" x14ac:dyDescent="0.35">
      <c r="B260" s="2" t="str">
        <f>IF(Base_de_donnee_articles!B260="","",Base_de_donnee_articles!B260)</f>
        <v/>
      </c>
      <c r="C260" s="2" t="str">
        <f>IF(Base_de_donnee_articles!C260="","",Base_de_donnee_articles!C260)</f>
        <v/>
      </c>
      <c r="D260" s="2" t="e">
        <f>IF(Inventaire!C260="","",Inventaire!C260/Base_de_donnee_articles!G260)</f>
        <v>#DIV/0!</v>
      </c>
      <c r="E260" s="2" t="str">
        <f>IF(B260="","",SUMIFS(Journal_entrees_et_sorties!D$8:D$400,Journal_entrees_et_sorties!C$8:C$400,C260))</f>
        <v/>
      </c>
      <c r="F260" s="2" t="e">
        <f>IF(Inventaire!D260="","",Inventaire!D260/Base_de_donnee_articles!G260)</f>
        <v>#DIV/0!</v>
      </c>
      <c r="G260" s="3" t="str">
        <f t="shared" si="3"/>
        <v/>
      </c>
    </row>
    <row r="261" spans="2:7" x14ac:dyDescent="0.35">
      <c r="B261" s="2" t="str">
        <f>IF(Base_de_donnee_articles!B261="","",Base_de_donnee_articles!B261)</f>
        <v/>
      </c>
      <c r="C261" s="2" t="str">
        <f>IF(Base_de_donnee_articles!C261="","",Base_de_donnee_articles!C261)</f>
        <v/>
      </c>
      <c r="D261" s="2" t="e">
        <f>IF(Inventaire!C261="","",Inventaire!C261/Base_de_donnee_articles!G261)</f>
        <v>#DIV/0!</v>
      </c>
      <c r="E261" s="2" t="str">
        <f>IF(B261="","",SUMIFS(Journal_entrees_et_sorties!D$8:D$400,Journal_entrees_et_sorties!C$8:C$400,C261))</f>
        <v/>
      </c>
      <c r="F261" s="2" t="e">
        <f>IF(Inventaire!D261="","",Inventaire!D261/Base_de_donnee_articles!G261)</f>
        <v>#DIV/0!</v>
      </c>
      <c r="G261" s="3" t="str">
        <f t="shared" si="3"/>
        <v/>
      </c>
    </row>
    <row r="262" spans="2:7" x14ac:dyDescent="0.35">
      <c r="B262" s="2" t="str">
        <f>IF(Base_de_donnee_articles!B262="","",Base_de_donnee_articles!B262)</f>
        <v/>
      </c>
      <c r="C262" s="2" t="str">
        <f>IF(Base_de_donnee_articles!C262="","",Base_de_donnee_articles!C262)</f>
        <v/>
      </c>
      <c r="D262" s="2" t="e">
        <f>IF(Inventaire!C262="","",Inventaire!C262/Base_de_donnee_articles!G262)</f>
        <v>#DIV/0!</v>
      </c>
      <c r="E262" s="2" t="str">
        <f>IF(B262="","",SUMIFS(Journal_entrees_et_sorties!D$8:D$400,Journal_entrees_et_sorties!C$8:C$400,C262))</f>
        <v/>
      </c>
      <c r="F262" s="2" t="e">
        <f>IF(Inventaire!D262="","",Inventaire!D262/Base_de_donnee_articles!G262)</f>
        <v>#DIV/0!</v>
      </c>
      <c r="G262" s="3" t="str">
        <f t="shared" si="3"/>
        <v/>
      </c>
    </row>
    <row r="263" spans="2:7" x14ac:dyDescent="0.35">
      <c r="B263" s="2" t="str">
        <f>IF(Base_de_donnee_articles!B263="","",Base_de_donnee_articles!B263)</f>
        <v/>
      </c>
      <c r="C263" s="2" t="str">
        <f>IF(Base_de_donnee_articles!C263="","",Base_de_donnee_articles!C263)</f>
        <v/>
      </c>
      <c r="D263" s="2" t="e">
        <f>IF(Inventaire!C263="","",Inventaire!C263/Base_de_donnee_articles!G263)</f>
        <v>#DIV/0!</v>
      </c>
      <c r="E263" s="2" t="str">
        <f>IF(B263="","",SUMIFS(Journal_entrees_et_sorties!D$8:D$400,Journal_entrees_et_sorties!C$8:C$400,C263))</f>
        <v/>
      </c>
      <c r="F263" s="2" t="e">
        <f>IF(Inventaire!D263="","",Inventaire!D263/Base_de_donnee_articles!G263)</f>
        <v>#DIV/0!</v>
      </c>
      <c r="G263" s="3" t="str">
        <f t="shared" si="3"/>
        <v/>
      </c>
    </row>
    <row r="264" spans="2:7" x14ac:dyDescent="0.35">
      <c r="B264" s="2" t="str">
        <f>IF(Base_de_donnee_articles!B264="","",Base_de_donnee_articles!B264)</f>
        <v/>
      </c>
      <c r="C264" s="2" t="str">
        <f>IF(Base_de_donnee_articles!C264="","",Base_de_donnee_articles!C264)</f>
        <v/>
      </c>
      <c r="D264" s="2" t="e">
        <f>IF(Inventaire!C264="","",Inventaire!C264/Base_de_donnee_articles!G264)</f>
        <v>#DIV/0!</v>
      </c>
      <c r="E264" s="2" t="str">
        <f>IF(B264="","",SUMIFS(Journal_entrees_et_sorties!D$8:D$400,Journal_entrees_et_sorties!C$8:C$400,C264))</f>
        <v/>
      </c>
      <c r="F264" s="2" t="e">
        <f>IF(Inventaire!D264="","",Inventaire!D264/Base_de_donnee_articles!G264)</f>
        <v>#DIV/0!</v>
      </c>
      <c r="G264" s="3" t="str">
        <f t="shared" si="3"/>
        <v/>
      </c>
    </row>
    <row r="265" spans="2:7" x14ac:dyDescent="0.35">
      <c r="B265" s="2" t="str">
        <f>IF(Base_de_donnee_articles!B265="","",Base_de_donnee_articles!B265)</f>
        <v/>
      </c>
      <c r="C265" s="2" t="str">
        <f>IF(Base_de_donnee_articles!C265="","",Base_de_donnee_articles!C265)</f>
        <v/>
      </c>
      <c r="D265" s="2" t="e">
        <f>IF(Inventaire!C265="","",Inventaire!C265/Base_de_donnee_articles!G265)</f>
        <v>#DIV/0!</v>
      </c>
      <c r="E265" s="2" t="str">
        <f>IF(B265="","",SUMIFS(Journal_entrees_et_sorties!D$8:D$400,Journal_entrees_et_sorties!C$8:C$400,C265))</f>
        <v/>
      </c>
      <c r="F265" s="2" t="e">
        <f>IF(Inventaire!D265="","",Inventaire!D265/Base_de_donnee_articles!G265)</f>
        <v>#DIV/0!</v>
      </c>
      <c r="G265" s="3" t="str">
        <f t="shared" ref="G265:G328" si="4">IF(C265="","",D265+E265-F265)</f>
        <v/>
      </c>
    </row>
    <row r="266" spans="2:7" x14ac:dyDescent="0.35">
      <c r="B266" s="2" t="str">
        <f>IF(Base_de_donnee_articles!B266="","",Base_de_donnee_articles!B266)</f>
        <v/>
      </c>
      <c r="C266" s="2" t="str">
        <f>IF(Base_de_donnee_articles!C266="","",Base_de_donnee_articles!C266)</f>
        <v/>
      </c>
      <c r="D266" s="2" t="e">
        <f>IF(Inventaire!C266="","",Inventaire!C266/Base_de_donnee_articles!G266)</f>
        <v>#DIV/0!</v>
      </c>
      <c r="E266" s="2" t="str">
        <f>IF(B266="","",SUMIFS(Journal_entrees_et_sorties!D$8:D$400,Journal_entrees_et_sorties!C$8:C$400,C266))</f>
        <v/>
      </c>
      <c r="F266" s="2" t="e">
        <f>IF(Inventaire!D266="","",Inventaire!D266/Base_de_donnee_articles!G266)</f>
        <v>#DIV/0!</v>
      </c>
      <c r="G266" s="3" t="str">
        <f t="shared" si="4"/>
        <v/>
      </c>
    </row>
    <row r="267" spans="2:7" x14ac:dyDescent="0.35">
      <c r="B267" s="2" t="str">
        <f>IF(Base_de_donnee_articles!B267="","",Base_de_donnee_articles!B267)</f>
        <v/>
      </c>
      <c r="C267" s="2" t="str">
        <f>IF(Base_de_donnee_articles!C267="","",Base_de_donnee_articles!C267)</f>
        <v/>
      </c>
      <c r="D267" s="2" t="e">
        <f>IF(Inventaire!C267="","",Inventaire!C267/Base_de_donnee_articles!G267)</f>
        <v>#DIV/0!</v>
      </c>
      <c r="E267" s="2" t="str">
        <f>IF(B267="","",SUMIFS(Journal_entrees_et_sorties!D$8:D$400,Journal_entrees_et_sorties!C$8:C$400,C267))</f>
        <v/>
      </c>
      <c r="F267" s="2" t="e">
        <f>IF(Inventaire!D267="","",Inventaire!D267/Base_de_donnee_articles!G267)</f>
        <v>#DIV/0!</v>
      </c>
      <c r="G267" s="3" t="str">
        <f t="shared" si="4"/>
        <v/>
      </c>
    </row>
    <row r="268" spans="2:7" x14ac:dyDescent="0.35">
      <c r="B268" s="2" t="str">
        <f>IF(Base_de_donnee_articles!B268="","",Base_de_donnee_articles!B268)</f>
        <v/>
      </c>
      <c r="C268" s="2" t="str">
        <f>IF(Base_de_donnee_articles!C268="","",Base_de_donnee_articles!C268)</f>
        <v/>
      </c>
      <c r="D268" s="2" t="e">
        <f>IF(Inventaire!C268="","",Inventaire!C268/Base_de_donnee_articles!G268)</f>
        <v>#DIV/0!</v>
      </c>
      <c r="E268" s="2" t="str">
        <f>IF(B268="","",SUMIFS(Journal_entrees_et_sorties!D$8:D$400,Journal_entrees_et_sorties!C$8:C$400,C268))</f>
        <v/>
      </c>
      <c r="F268" s="2" t="e">
        <f>IF(Inventaire!D268="","",Inventaire!D268/Base_de_donnee_articles!G268)</f>
        <v>#DIV/0!</v>
      </c>
      <c r="G268" s="3" t="str">
        <f t="shared" si="4"/>
        <v/>
      </c>
    </row>
    <row r="269" spans="2:7" x14ac:dyDescent="0.35">
      <c r="B269" s="2" t="str">
        <f>IF(Base_de_donnee_articles!B269="","",Base_de_donnee_articles!B269)</f>
        <v/>
      </c>
      <c r="C269" s="2" t="str">
        <f>IF(Base_de_donnee_articles!C269="","",Base_de_donnee_articles!C269)</f>
        <v/>
      </c>
      <c r="D269" s="2" t="e">
        <f>IF(Inventaire!C269="","",Inventaire!C269/Base_de_donnee_articles!G269)</f>
        <v>#DIV/0!</v>
      </c>
      <c r="E269" s="2" t="str">
        <f>IF(B269="","",SUMIFS(Journal_entrees_et_sorties!D$8:D$400,Journal_entrees_et_sorties!C$8:C$400,C269))</f>
        <v/>
      </c>
      <c r="F269" s="2" t="e">
        <f>IF(Inventaire!D269="","",Inventaire!D269/Base_de_donnee_articles!G269)</f>
        <v>#DIV/0!</v>
      </c>
      <c r="G269" s="3" t="str">
        <f t="shared" si="4"/>
        <v/>
      </c>
    </row>
    <row r="270" spans="2:7" x14ac:dyDescent="0.35">
      <c r="B270" s="2" t="str">
        <f>IF(Base_de_donnee_articles!B270="","",Base_de_donnee_articles!B270)</f>
        <v/>
      </c>
      <c r="C270" s="2" t="str">
        <f>IF(Base_de_donnee_articles!C270="","",Base_de_donnee_articles!C270)</f>
        <v/>
      </c>
      <c r="D270" s="2" t="e">
        <f>IF(Inventaire!C270="","",Inventaire!C270/Base_de_donnee_articles!G270)</f>
        <v>#DIV/0!</v>
      </c>
      <c r="E270" s="2" t="str">
        <f>IF(B270="","",SUMIFS(Journal_entrees_et_sorties!D$8:D$400,Journal_entrees_et_sorties!C$8:C$400,C270))</f>
        <v/>
      </c>
      <c r="F270" s="2" t="e">
        <f>IF(Inventaire!D270="","",Inventaire!D270/Base_de_donnee_articles!G270)</f>
        <v>#DIV/0!</v>
      </c>
      <c r="G270" s="3" t="str">
        <f t="shared" si="4"/>
        <v/>
      </c>
    </row>
    <row r="271" spans="2:7" x14ac:dyDescent="0.35">
      <c r="B271" s="2" t="str">
        <f>IF(Base_de_donnee_articles!B271="","",Base_de_donnee_articles!B271)</f>
        <v/>
      </c>
      <c r="C271" s="2" t="str">
        <f>IF(Base_de_donnee_articles!C271="","",Base_de_donnee_articles!C271)</f>
        <v/>
      </c>
      <c r="D271" s="2" t="e">
        <f>IF(Inventaire!C271="","",Inventaire!C271/Base_de_donnee_articles!G271)</f>
        <v>#DIV/0!</v>
      </c>
      <c r="E271" s="2" t="str">
        <f>IF(B271="","",SUMIFS(Journal_entrees_et_sorties!D$8:D$400,Journal_entrees_et_sorties!C$8:C$400,C271))</f>
        <v/>
      </c>
      <c r="F271" s="2" t="e">
        <f>IF(Inventaire!D271="","",Inventaire!D271/Base_de_donnee_articles!G271)</f>
        <v>#DIV/0!</v>
      </c>
      <c r="G271" s="3" t="str">
        <f t="shared" si="4"/>
        <v/>
      </c>
    </row>
    <row r="272" spans="2:7" x14ac:dyDescent="0.35">
      <c r="B272" s="2" t="str">
        <f>IF(Base_de_donnee_articles!B272="","",Base_de_donnee_articles!B272)</f>
        <v/>
      </c>
      <c r="C272" s="2" t="str">
        <f>IF(Base_de_donnee_articles!C272="","",Base_de_donnee_articles!C272)</f>
        <v/>
      </c>
      <c r="D272" s="2" t="e">
        <f>IF(Inventaire!C272="","",Inventaire!C272/Base_de_donnee_articles!G272)</f>
        <v>#DIV/0!</v>
      </c>
      <c r="E272" s="2" t="str">
        <f>IF(B272="","",SUMIFS(Journal_entrees_et_sorties!D$8:D$400,Journal_entrees_et_sorties!C$8:C$400,C272))</f>
        <v/>
      </c>
      <c r="F272" s="2" t="e">
        <f>IF(Inventaire!D272="","",Inventaire!D272/Base_de_donnee_articles!G272)</f>
        <v>#DIV/0!</v>
      </c>
      <c r="G272" s="3" t="str">
        <f t="shared" si="4"/>
        <v/>
      </c>
    </row>
    <row r="273" spans="2:7" x14ac:dyDescent="0.35">
      <c r="B273" s="2" t="str">
        <f>IF(Base_de_donnee_articles!B273="","",Base_de_donnee_articles!B273)</f>
        <v/>
      </c>
      <c r="C273" s="2" t="str">
        <f>IF(Base_de_donnee_articles!C273="","",Base_de_donnee_articles!C273)</f>
        <v/>
      </c>
      <c r="D273" s="2" t="e">
        <f>IF(Inventaire!C273="","",Inventaire!C273/Base_de_donnee_articles!G273)</f>
        <v>#DIV/0!</v>
      </c>
      <c r="E273" s="2" t="str">
        <f>IF(B273="","",SUMIFS(Journal_entrees_et_sorties!D$8:D$400,Journal_entrees_et_sorties!C$8:C$400,C273))</f>
        <v/>
      </c>
      <c r="F273" s="2" t="e">
        <f>IF(Inventaire!D273="","",Inventaire!D273/Base_de_donnee_articles!G273)</f>
        <v>#DIV/0!</v>
      </c>
      <c r="G273" s="3" t="str">
        <f t="shared" si="4"/>
        <v/>
      </c>
    </row>
    <row r="274" spans="2:7" x14ac:dyDescent="0.35">
      <c r="B274" s="2" t="str">
        <f>IF(Base_de_donnee_articles!B274="","",Base_de_donnee_articles!B274)</f>
        <v/>
      </c>
      <c r="C274" s="2" t="str">
        <f>IF(Base_de_donnee_articles!C274="","",Base_de_donnee_articles!C274)</f>
        <v/>
      </c>
      <c r="D274" s="2" t="e">
        <f>IF(Inventaire!C274="","",Inventaire!C274/Base_de_donnee_articles!G274)</f>
        <v>#DIV/0!</v>
      </c>
      <c r="E274" s="2" t="str">
        <f>IF(B274="","",SUMIFS(Journal_entrees_et_sorties!D$8:D$400,Journal_entrees_et_sorties!C$8:C$400,C274))</f>
        <v/>
      </c>
      <c r="F274" s="2" t="e">
        <f>IF(Inventaire!D274="","",Inventaire!D274/Base_de_donnee_articles!G274)</f>
        <v>#DIV/0!</v>
      </c>
      <c r="G274" s="3" t="str">
        <f t="shared" si="4"/>
        <v/>
      </c>
    </row>
    <row r="275" spans="2:7" x14ac:dyDescent="0.35">
      <c r="B275" s="2" t="str">
        <f>IF(Base_de_donnee_articles!B275="","",Base_de_donnee_articles!B275)</f>
        <v/>
      </c>
      <c r="C275" s="2" t="str">
        <f>IF(Base_de_donnee_articles!C275="","",Base_de_donnee_articles!C275)</f>
        <v/>
      </c>
      <c r="D275" s="2" t="e">
        <f>IF(Inventaire!C275="","",Inventaire!C275/Base_de_donnee_articles!G275)</f>
        <v>#DIV/0!</v>
      </c>
      <c r="E275" s="2" t="str">
        <f>IF(B275="","",SUMIFS(Journal_entrees_et_sorties!D$8:D$400,Journal_entrees_et_sorties!C$8:C$400,C275))</f>
        <v/>
      </c>
      <c r="F275" s="2" t="e">
        <f>IF(Inventaire!D275="","",Inventaire!D275/Base_de_donnee_articles!G275)</f>
        <v>#DIV/0!</v>
      </c>
      <c r="G275" s="3" t="str">
        <f t="shared" si="4"/>
        <v/>
      </c>
    </row>
    <row r="276" spans="2:7" x14ac:dyDescent="0.35">
      <c r="B276" s="2" t="str">
        <f>IF(Base_de_donnee_articles!B276="","",Base_de_donnee_articles!B276)</f>
        <v/>
      </c>
      <c r="C276" s="2" t="str">
        <f>IF(Base_de_donnee_articles!C276="","",Base_de_donnee_articles!C276)</f>
        <v/>
      </c>
      <c r="D276" s="2" t="e">
        <f>IF(Inventaire!C276="","",Inventaire!C276/Base_de_donnee_articles!G276)</f>
        <v>#DIV/0!</v>
      </c>
      <c r="E276" s="2" t="str">
        <f>IF(B276="","",SUMIFS(Journal_entrees_et_sorties!D$8:D$400,Journal_entrees_et_sorties!C$8:C$400,C276))</f>
        <v/>
      </c>
      <c r="F276" s="2" t="e">
        <f>IF(Inventaire!D276="","",Inventaire!D276/Base_de_donnee_articles!G276)</f>
        <v>#DIV/0!</v>
      </c>
      <c r="G276" s="3" t="str">
        <f t="shared" si="4"/>
        <v/>
      </c>
    </row>
    <row r="277" spans="2:7" x14ac:dyDescent="0.35">
      <c r="B277" s="2" t="str">
        <f>IF(Base_de_donnee_articles!B277="","",Base_de_donnee_articles!B277)</f>
        <v/>
      </c>
      <c r="C277" s="2" t="str">
        <f>IF(Base_de_donnee_articles!C277="","",Base_de_donnee_articles!C277)</f>
        <v/>
      </c>
      <c r="D277" s="2" t="e">
        <f>IF(Inventaire!C277="","",Inventaire!C277/Base_de_donnee_articles!G277)</f>
        <v>#DIV/0!</v>
      </c>
      <c r="E277" s="2" t="str">
        <f>IF(B277="","",SUMIFS(Journal_entrees_et_sorties!D$8:D$400,Journal_entrees_et_sorties!C$8:C$400,C277))</f>
        <v/>
      </c>
      <c r="F277" s="2" t="e">
        <f>IF(Inventaire!D277="","",Inventaire!D277/Base_de_donnee_articles!G277)</f>
        <v>#DIV/0!</v>
      </c>
      <c r="G277" s="3" t="str">
        <f t="shared" si="4"/>
        <v/>
      </c>
    </row>
    <row r="278" spans="2:7" x14ac:dyDescent="0.35">
      <c r="B278" s="2" t="str">
        <f>IF(Base_de_donnee_articles!B278="","",Base_de_donnee_articles!B278)</f>
        <v/>
      </c>
      <c r="C278" s="2" t="str">
        <f>IF(Base_de_donnee_articles!C278="","",Base_de_donnee_articles!C278)</f>
        <v/>
      </c>
      <c r="D278" s="2" t="e">
        <f>IF(Inventaire!C278="","",Inventaire!C278/Base_de_donnee_articles!G278)</f>
        <v>#DIV/0!</v>
      </c>
      <c r="E278" s="2" t="str">
        <f>IF(B278="","",SUMIFS(Journal_entrees_et_sorties!D$8:D$400,Journal_entrees_et_sorties!C$8:C$400,C278))</f>
        <v/>
      </c>
      <c r="F278" s="2" t="e">
        <f>IF(Inventaire!D278="","",Inventaire!D278/Base_de_donnee_articles!G278)</f>
        <v>#DIV/0!</v>
      </c>
      <c r="G278" s="3" t="str">
        <f t="shared" si="4"/>
        <v/>
      </c>
    </row>
    <row r="279" spans="2:7" x14ac:dyDescent="0.35">
      <c r="B279" s="2" t="str">
        <f>IF(Base_de_donnee_articles!B279="","",Base_de_donnee_articles!B279)</f>
        <v/>
      </c>
      <c r="C279" s="2" t="str">
        <f>IF(Base_de_donnee_articles!C279="","",Base_de_donnee_articles!C279)</f>
        <v/>
      </c>
      <c r="D279" s="2" t="e">
        <f>IF(Inventaire!C279="","",Inventaire!C279/Base_de_donnee_articles!G279)</f>
        <v>#DIV/0!</v>
      </c>
      <c r="E279" s="2" t="str">
        <f>IF(B279="","",SUMIFS(Journal_entrees_et_sorties!D$8:D$400,Journal_entrees_et_sorties!C$8:C$400,C279))</f>
        <v/>
      </c>
      <c r="F279" s="2" t="e">
        <f>IF(Inventaire!D279="","",Inventaire!D279/Base_de_donnee_articles!G279)</f>
        <v>#DIV/0!</v>
      </c>
      <c r="G279" s="3" t="str">
        <f t="shared" si="4"/>
        <v/>
      </c>
    </row>
    <row r="280" spans="2:7" x14ac:dyDescent="0.35">
      <c r="B280" s="2" t="str">
        <f>IF(Base_de_donnee_articles!B280="","",Base_de_donnee_articles!B280)</f>
        <v/>
      </c>
      <c r="C280" s="2" t="str">
        <f>IF(Base_de_donnee_articles!C280="","",Base_de_donnee_articles!C280)</f>
        <v/>
      </c>
      <c r="D280" s="2" t="e">
        <f>IF(Inventaire!C280="","",Inventaire!C280/Base_de_donnee_articles!G280)</f>
        <v>#DIV/0!</v>
      </c>
      <c r="E280" s="2" t="str">
        <f>IF(B280="","",SUMIFS(Journal_entrees_et_sorties!D$8:D$400,Journal_entrees_et_sorties!C$8:C$400,C280))</f>
        <v/>
      </c>
      <c r="F280" s="2" t="e">
        <f>IF(Inventaire!D280="","",Inventaire!D280/Base_de_donnee_articles!G280)</f>
        <v>#DIV/0!</v>
      </c>
      <c r="G280" s="3" t="str">
        <f t="shared" si="4"/>
        <v/>
      </c>
    </row>
    <row r="281" spans="2:7" x14ac:dyDescent="0.35">
      <c r="B281" s="2" t="str">
        <f>IF(Base_de_donnee_articles!B281="","",Base_de_donnee_articles!B281)</f>
        <v/>
      </c>
      <c r="C281" s="2" t="str">
        <f>IF(Base_de_donnee_articles!C281="","",Base_de_donnee_articles!C281)</f>
        <v/>
      </c>
      <c r="D281" s="2" t="e">
        <f>IF(Inventaire!C281="","",Inventaire!C281/Base_de_donnee_articles!G281)</f>
        <v>#DIV/0!</v>
      </c>
      <c r="E281" s="2" t="str">
        <f>IF(B281="","",SUMIFS(Journal_entrees_et_sorties!D$8:D$400,Journal_entrees_et_sorties!C$8:C$400,C281))</f>
        <v/>
      </c>
      <c r="F281" s="2" t="e">
        <f>IF(Inventaire!D281="","",Inventaire!D281/Base_de_donnee_articles!G281)</f>
        <v>#DIV/0!</v>
      </c>
      <c r="G281" s="3" t="str">
        <f t="shared" si="4"/>
        <v/>
      </c>
    </row>
    <row r="282" spans="2:7" x14ac:dyDescent="0.35">
      <c r="B282" s="2" t="str">
        <f>IF(Base_de_donnee_articles!B282="","",Base_de_donnee_articles!B282)</f>
        <v/>
      </c>
      <c r="C282" s="2" t="str">
        <f>IF(Base_de_donnee_articles!C282="","",Base_de_donnee_articles!C282)</f>
        <v/>
      </c>
      <c r="D282" s="2" t="e">
        <f>IF(Inventaire!C282="","",Inventaire!C282/Base_de_donnee_articles!G282)</f>
        <v>#DIV/0!</v>
      </c>
      <c r="E282" s="2" t="str">
        <f>IF(B282="","",SUMIFS(Journal_entrees_et_sorties!D$8:D$400,Journal_entrees_et_sorties!C$8:C$400,C282))</f>
        <v/>
      </c>
      <c r="F282" s="2" t="e">
        <f>IF(Inventaire!D282="","",Inventaire!D282/Base_de_donnee_articles!G282)</f>
        <v>#DIV/0!</v>
      </c>
      <c r="G282" s="3" t="str">
        <f t="shared" si="4"/>
        <v/>
      </c>
    </row>
    <row r="283" spans="2:7" x14ac:dyDescent="0.35">
      <c r="B283" s="2" t="str">
        <f>IF(Base_de_donnee_articles!B283="","",Base_de_donnee_articles!B283)</f>
        <v/>
      </c>
      <c r="C283" s="2" t="str">
        <f>IF(Base_de_donnee_articles!C283="","",Base_de_donnee_articles!C283)</f>
        <v/>
      </c>
      <c r="D283" s="2" t="e">
        <f>IF(Inventaire!C283="","",Inventaire!C283/Base_de_donnee_articles!G283)</f>
        <v>#DIV/0!</v>
      </c>
      <c r="E283" s="2" t="str">
        <f>IF(B283="","",SUMIFS(Journal_entrees_et_sorties!D$8:D$400,Journal_entrees_et_sorties!C$8:C$400,C283))</f>
        <v/>
      </c>
      <c r="F283" s="2" t="e">
        <f>IF(Inventaire!D283="","",Inventaire!D283/Base_de_donnee_articles!G283)</f>
        <v>#DIV/0!</v>
      </c>
      <c r="G283" s="3" t="str">
        <f t="shared" si="4"/>
        <v/>
      </c>
    </row>
    <row r="284" spans="2:7" x14ac:dyDescent="0.35">
      <c r="B284" s="2" t="str">
        <f>IF(Base_de_donnee_articles!B284="","",Base_de_donnee_articles!B284)</f>
        <v/>
      </c>
      <c r="C284" s="2" t="str">
        <f>IF(Base_de_donnee_articles!C284="","",Base_de_donnee_articles!C284)</f>
        <v/>
      </c>
      <c r="D284" s="2" t="e">
        <f>IF(Inventaire!C284="","",Inventaire!C284/Base_de_donnee_articles!G284)</f>
        <v>#DIV/0!</v>
      </c>
      <c r="E284" s="2" t="str">
        <f>IF(B284="","",SUMIFS(Journal_entrees_et_sorties!D$8:D$400,Journal_entrees_et_sorties!C$8:C$400,C284))</f>
        <v/>
      </c>
      <c r="F284" s="2" t="e">
        <f>IF(Inventaire!D284="","",Inventaire!D284/Base_de_donnee_articles!G284)</f>
        <v>#DIV/0!</v>
      </c>
      <c r="G284" s="3" t="str">
        <f t="shared" si="4"/>
        <v/>
      </c>
    </row>
    <row r="285" spans="2:7" x14ac:dyDescent="0.35">
      <c r="B285" s="2" t="str">
        <f>IF(Base_de_donnee_articles!B285="","",Base_de_donnee_articles!B285)</f>
        <v/>
      </c>
      <c r="C285" s="2" t="str">
        <f>IF(Base_de_donnee_articles!C285="","",Base_de_donnee_articles!C285)</f>
        <v/>
      </c>
      <c r="D285" s="2" t="e">
        <f>IF(Inventaire!C285="","",Inventaire!C285/Base_de_donnee_articles!G285)</f>
        <v>#DIV/0!</v>
      </c>
      <c r="E285" s="2" t="str">
        <f>IF(B285="","",SUMIFS(Journal_entrees_et_sorties!D$8:D$400,Journal_entrees_et_sorties!C$8:C$400,C285))</f>
        <v/>
      </c>
      <c r="F285" s="2" t="e">
        <f>IF(Inventaire!D285="","",Inventaire!D285/Base_de_donnee_articles!G285)</f>
        <v>#DIV/0!</v>
      </c>
      <c r="G285" s="3" t="str">
        <f t="shared" si="4"/>
        <v/>
      </c>
    </row>
    <row r="286" spans="2:7" x14ac:dyDescent="0.35">
      <c r="B286" s="2" t="str">
        <f>IF(Base_de_donnee_articles!B286="","",Base_de_donnee_articles!B286)</f>
        <v/>
      </c>
      <c r="C286" s="2" t="str">
        <f>IF(Base_de_donnee_articles!C286="","",Base_de_donnee_articles!C286)</f>
        <v/>
      </c>
      <c r="D286" s="2" t="e">
        <f>IF(Inventaire!C286="","",Inventaire!C286/Base_de_donnee_articles!G286)</f>
        <v>#DIV/0!</v>
      </c>
      <c r="E286" s="2" t="str">
        <f>IF(B286="","",SUMIFS(Journal_entrees_et_sorties!D$8:D$400,Journal_entrees_et_sorties!C$8:C$400,C286))</f>
        <v/>
      </c>
      <c r="F286" s="2" t="e">
        <f>IF(Inventaire!D286="","",Inventaire!D286/Base_de_donnee_articles!G286)</f>
        <v>#DIV/0!</v>
      </c>
      <c r="G286" s="3" t="str">
        <f t="shared" si="4"/>
        <v/>
      </c>
    </row>
    <row r="287" spans="2:7" x14ac:dyDescent="0.35">
      <c r="B287" s="2" t="str">
        <f>IF(Base_de_donnee_articles!B287="","",Base_de_donnee_articles!B287)</f>
        <v/>
      </c>
      <c r="C287" s="2" t="str">
        <f>IF(Base_de_donnee_articles!C287="","",Base_de_donnee_articles!C287)</f>
        <v/>
      </c>
      <c r="D287" s="2" t="e">
        <f>IF(Inventaire!C287="","",Inventaire!C287/Base_de_donnee_articles!G287)</f>
        <v>#DIV/0!</v>
      </c>
      <c r="E287" s="2" t="str">
        <f>IF(B287="","",SUMIFS(Journal_entrees_et_sorties!D$8:D$400,Journal_entrees_et_sorties!C$8:C$400,C287))</f>
        <v/>
      </c>
      <c r="F287" s="2" t="e">
        <f>IF(Inventaire!D287="","",Inventaire!D287/Base_de_donnee_articles!G287)</f>
        <v>#DIV/0!</v>
      </c>
      <c r="G287" s="3" t="str">
        <f t="shared" si="4"/>
        <v/>
      </c>
    </row>
    <row r="288" spans="2:7" x14ac:dyDescent="0.35">
      <c r="B288" s="2" t="str">
        <f>IF(Base_de_donnee_articles!B288="","",Base_de_donnee_articles!B288)</f>
        <v/>
      </c>
      <c r="C288" s="2" t="str">
        <f>IF(Base_de_donnee_articles!C288="","",Base_de_donnee_articles!C288)</f>
        <v/>
      </c>
      <c r="D288" s="2" t="e">
        <f>IF(Inventaire!C288="","",Inventaire!C288/Base_de_donnee_articles!G288)</f>
        <v>#DIV/0!</v>
      </c>
      <c r="E288" s="2" t="str">
        <f>IF(B288="","",SUMIFS(Journal_entrees_et_sorties!D$8:D$400,Journal_entrees_et_sorties!C$8:C$400,C288))</f>
        <v/>
      </c>
      <c r="F288" s="2" t="e">
        <f>IF(Inventaire!D288="","",Inventaire!D288/Base_de_donnee_articles!G288)</f>
        <v>#DIV/0!</v>
      </c>
      <c r="G288" s="3" t="str">
        <f t="shared" si="4"/>
        <v/>
      </c>
    </row>
    <row r="289" spans="2:7" x14ac:dyDescent="0.35">
      <c r="B289" s="2" t="str">
        <f>IF(Base_de_donnee_articles!B289="","",Base_de_donnee_articles!B289)</f>
        <v/>
      </c>
      <c r="C289" s="2" t="str">
        <f>IF(Base_de_donnee_articles!C289="","",Base_de_donnee_articles!C289)</f>
        <v/>
      </c>
      <c r="D289" s="2" t="e">
        <f>IF(Inventaire!C289="","",Inventaire!C289/Base_de_donnee_articles!G289)</f>
        <v>#DIV/0!</v>
      </c>
      <c r="E289" s="2" t="str">
        <f>IF(B289="","",SUMIFS(Journal_entrees_et_sorties!D$8:D$400,Journal_entrees_et_sorties!C$8:C$400,C289))</f>
        <v/>
      </c>
      <c r="F289" s="2" t="e">
        <f>IF(Inventaire!D289="","",Inventaire!D289/Base_de_donnee_articles!G289)</f>
        <v>#DIV/0!</v>
      </c>
      <c r="G289" s="3" t="str">
        <f t="shared" si="4"/>
        <v/>
      </c>
    </row>
    <row r="290" spans="2:7" x14ac:dyDescent="0.35">
      <c r="B290" s="2" t="str">
        <f>IF(Base_de_donnee_articles!B290="","",Base_de_donnee_articles!B290)</f>
        <v/>
      </c>
      <c r="C290" s="2" t="str">
        <f>IF(Base_de_donnee_articles!C290="","",Base_de_donnee_articles!C290)</f>
        <v/>
      </c>
      <c r="D290" s="2" t="e">
        <f>IF(Inventaire!C290="","",Inventaire!C290/Base_de_donnee_articles!G290)</f>
        <v>#DIV/0!</v>
      </c>
      <c r="E290" s="2" t="str">
        <f>IF(B290="","",SUMIFS(Journal_entrees_et_sorties!D$8:D$400,Journal_entrees_et_sorties!C$8:C$400,C290))</f>
        <v/>
      </c>
      <c r="F290" s="2" t="e">
        <f>IF(Inventaire!D290="","",Inventaire!D290/Base_de_donnee_articles!G290)</f>
        <v>#DIV/0!</v>
      </c>
      <c r="G290" s="3" t="str">
        <f t="shared" si="4"/>
        <v/>
      </c>
    </row>
    <row r="291" spans="2:7" x14ac:dyDescent="0.35">
      <c r="B291" s="2" t="str">
        <f>IF(Base_de_donnee_articles!B291="","",Base_de_donnee_articles!B291)</f>
        <v/>
      </c>
      <c r="C291" s="2" t="str">
        <f>IF(Base_de_donnee_articles!C291="","",Base_de_donnee_articles!C291)</f>
        <v/>
      </c>
      <c r="D291" s="2" t="e">
        <f>IF(Inventaire!C291="","",Inventaire!C291/Base_de_donnee_articles!G291)</f>
        <v>#DIV/0!</v>
      </c>
      <c r="E291" s="2" t="str">
        <f>IF(B291="","",SUMIFS(Journal_entrees_et_sorties!D$8:D$400,Journal_entrees_et_sorties!C$8:C$400,C291))</f>
        <v/>
      </c>
      <c r="F291" s="2" t="e">
        <f>IF(Inventaire!D291="","",Inventaire!D291/Base_de_donnee_articles!G291)</f>
        <v>#DIV/0!</v>
      </c>
      <c r="G291" s="3" t="str">
        <f t="shared" si="4"/>
        <v/>
      </c>
    </row>
    <row r="292" spans="2:7" x14ac:dyDescent="0.35">
      <c r="B292" s="2" t="str">
        <f>IF(Base_de_donnee_articles!B292="","",Base_de_donnee_articles!B292)</f>
        <v/>
      </c>
      <c r="C292" s="2" t="str">
        <f>IF(Base_de_donnee_articles!C292="","",Base_de_donnee_articles!C292)</f>
        <v/>
      </c>
      <c r="D292" s="2" t="e">
        <f>IF(Inventaire!C292="","",Inventaire!C292/Base_de_donnee_articles!G292)</f>
        <v>#DIV/0!</v>
      </c>
      <c r="E292" s="2" t="str">
        <f>IF(B292="","",SUMIFS(Journal_entrees_et_sorties!D$8:D$400,Journal_entrees_et_sorties!C$8:C$400,C292))</f>
        <v/>
      </c>
      <c r="F292" s="2" t="e">
        <f>IF(Inventaire!D292="","",Inventaire!D292/Base_de_donnee_articles!G292)</f>
        <v>#DIV/0!</v>
      </c>
      <c r="G292" s="3" t="str">
        <f t="shared" si="4"/>
        <v/>
      </c>
    </row>
    <row r="293" spans="2:7" x14ac:dyDescent="0.35">
      <c r="B293" s="2" t="str">
        <f>IF(Base_de_donnee_articles!B293="","",Base_de_donnee_articles!B293)</f>
        <v/>
      </c>
      <c r="C293" s="2" t="str">
        <f>IF(Base_de_donnee_articles!C293="","",Base_de_donnee_articles!C293)</f>
        <v/>
      </c>
      <c r="D293" s="2" t="e">
        <f>IF(Inventaire!C293="","",Inventaire!C293/Base_de_donnee_articles!G293)</f>
        <v>#DIV/0!</v>
      </c>
      <c r="E293" s="2" t="str">
        <f>IF(B293="","",SUMIFS(Journal_entrees_et_sorties!D$8:D$400,Journal_entrees_et_sorties!C$8:C$400,C293))</f>
        <v/>
      </c>
      <c r="F293" s="2" t="e">
        <f>IF(Inventaire!D293="","",Inventaire!D293/Base_de_donnee_articles!G293)</f>
        <v>#DIV/0!</v>
      </c>
      <c r="G293" s="3" t="str">
        <f t="shared" si="4"/>
        <v/>
      </c>
    </row>
    <row r="294" spans="2:7" x14ac:dyDescent="0.35">
      <c r="B294" s="2" t="str">
        <f>IF(Base_de_donnee_articles!B294="","",Base_de_donnee_articles!B294)</f>
        <v/>
      </c>
      <c r="C294" s="2" t="str">
        <f>IF(Base_de_donnee_articles!C294="","",Base_de_donnee_articles!C294)</f>
        <v/>
      </c>
      <c r="D294" s="2" t="e">
        <f>IF(Inventaire!C294="","",Inventaire!C294/Base_de_donnee_articles!G294)</f>
        <v>#DIV/0!</v>
      </c>
      <c r="E294" s="2" t="str">
        <f>IF(B294="","",SUMIFS(Journal_entrees_et_sorties!D$8:D$400,Journal_entrees_et_sorties!C$8:C$400,C294))</f>
        <v/>
      </c>
      <c r="F294" s="2" t="e">
        <f>IF(Inventaire!D294="","",Inventaire!D294/Base_de_donnee_articles!G294)</f>
        <v>#DIV/0!</v>
      </c>
      <c r="G294" s="3" t="str">
        <f t="shared" si="4"/>
        <v/>
      </c>
    </row>
    <row r="295" spans="2:7" x14ac:dyDescent="0.35">
      <c r="B295" s="2" t="str">
        <f>IF(Base_de_donnee_articles!B295="","",Base_de_donnee_articles!B295)</f>
        <v/>
      </c>
      <c r="C295" s="2" t="str">
        <f>IF(Base_de_donnee_articles!C295="","",Base_de_donnee_articles!C295)</f>
        <v/>
      </c>
      <c r="D295" s="2" t="e">
        <f>IF(Inventaire!C295="","",Inventaire!C295/Base_de_donnee_articles!G295)</f>
        <v>#DIV/0!</v>
      </c>
      <c r="E295" s="2" t="str">
        <f>IF(B295="","",SUMIFS(Journal_entrees_et_sorties!D$8:D$400,Journal_entrees_et_sorties!C$8:C$400,C295))</f>
        <v/>
      </c>
      <c r="F295" s="2" t="e">
        <f>IF(Inventaire!D295="","",Inventaire!D295/Base_de_donnee_articles!G295)</f>
        <v>#DIV/0!</v>
      </c>
      <c r="G295" s="3" t="str">
        <f t="shared" si="4"/>
        <v/>
      </c>
    </row>
    <row r="296" spans="2:7" x14ac:dyDescent="0.35">
      <c r="B296" s="2" t="str">
        <f>IF(Base_de_donnee_articles!B296="","",Base_de_donnee_articles!B296)</f>
        <v/>
      </c>
      <c r="C296" s="2" t="str">
        <f>IF(Base_de_donnee_articles!C296="","",Base_de_donnee_articles!C296)</f>
        <v/>
      </c>
      <c r="D296" s="2" t="e">
        <f>IF(Inventaire!C296="","",Inventaire!C296/Base_de_donnee_articles!G296)</f>
        <v>#DIV/0!</v>
      </c>
      <c r="E296" s="2" t="str">
        <f>IF(B296="","",SUMIFS(Journal_entrees_et_sorties!D$8:D$400,Journal_entrees_et_sorties!C$8:C$400,C296))</f>
        <v/>
      </c>
      <c r="F296" s="2" t="e">
        <f>IF(Inventaire!D296="","",Inventaire!D296/Base_de_donnee_articles!G296)</f>
        <v>#DIV/0!</v>
      </c>
      <c r="G296" s="3" t="str">
        <f t="shared" si="4"/>
        <v/>
      </c>
    </row>
    <row r="297" spans="2:7" x14ac:dyDescent="0.35">
      <c r="B297" s="2" t="str">
        <f>IF(Base_de_donnee_articles!B297="","",Base_de_donnee_articles!B297)</f>
        <v/>
      </c>
      <c r="C297" s="2" t="str">
        <f>IF(Base_de_donnee_articles!C297="","",Base_de_donnee_articles!C297)</f>
        <v/>
      </c>
      <c r="D297" s="2" t="e">
        <f>IF(Inventaire!C297="","",Inventaire!C297/Base_de_donnee_articles!G297)</f>
        <v>#DIV/0!</v>
      </c>
      <c r="E297" s="2" t="str">
        <f>IF(B297="","",SUMIFS(Journal_entrees_et_sorties!D$8:D$400,Journal_entrees_et_sorties!C$8:C$400,C297))</f>
        <v/>
      </c>
      <c r="F297" s="2" t="e">
        <f>IF(Inventaire!D297="","",Inventaire!D297/Base_de_donnee_articles!G297)</f>
        <v>#DIV/0!</v>
      </c>
      <c r="G297" s="3" t="str">
        <f t="shared" si="4"/>
        <v/>
      </c>
    </row>
    <row r="298" spans="2:7" x14ac:dyDescent="0.35">
      <c r="B298" s="2" t="str">
        <f>IF(Base_de_donnee_articles!B298="","",Base_de_donnee_articles!B298)</f>
        <v/>
      </c>
      <c r="C298" s="2" t="str">
        <f>IF(Base_de_donnee_articles!C298="","",Base_de_donnee_articles!C298)</f>
        <v/>
      </c>
      <c r="D298" s="2" t="str">
        <f>IF(Inventaire!C298="","",Inventaire!C298/Base_de_donnee_articles!G298)</f>
        <v/>
      </c>
      <c r="E298" s="2" t="str">
        <f>IF(B298="","",SUMIFS(Journal_entrees_et_sorties!D$8:D$400,Journal_entrees_et_sorties!C$8:C$400,C298))</f>
        <v/>
      </c>
      <c r="F298" s="2" t="str">
        <f>IF(Inventaire!D298="","",Inventaire!D298/Base_de_donnee_articles!G298)</f>
        <v/>
      </c>
      <c r="G298" s="3" t="str">
        <f t="shared" si="4"/>
        <v/>
      </c>
    </row>
    <row r="299" spans="2:7" x14ac:dyDescent="0.35">
      <c r="B299" s="2" t="str">
        <f>IF(Base_de_donnee_articles!B299="","",Base_de_donnee_articles!B299)</f>
        <v/>
      </c>
      <c r="C299" s="2" t="str">
        <f>IF(Base_de_donnee_articles!C299="","",Base_de_donnee_articles!C299)</f>
        <v/>
      </c>
      <c r="D299" s="2" t="str">
        <f>IF(Inventaire!C299="","",Inventaire!C299/Base_de_donnee_articles!G299)</f>
        <v/>
      </c>
      <c r="E299" s="2" t="str">
        <f>IF(B299="","",SUMIFS(Journal_entrees_et_sorties!D$8:D$400,Journal_entrees_et_sorties!C$8:C$400,C299))</f>
        <v/>
      </c>
      <c r="F299" s="2" t="str">
        <f>IF(Inventaire!D299="","",Inventaire!D299/Base_de_donnee_articles!G299)</f>
        <v/>
      </c>
      <c r="G299" s="3" t="str">
        <f t="shared" si="4"/>
        <v/>
      </c>
    </row>
    <row r="300" spans="2:7" x14ac:dyDescent="0.35">
      <c r="B300" s="2" t="str">
        <f>IF(Base_de_donnee_articles!B300="","",Base_de_donnee_articles!B300)</f>
        <v/>
      </c>
      <c r="C300" s="2" t="str">
        <f>IF(Base_de_donnee_articles!C300="","",Base_de_donnee_articles!C300)</f>
        <v/>
      </c>
      <c r="D300" s="2" t="str">
        <f>IF(Inventaire!C300="","",Inventaire!C300/Base_de_donnee_articles!G300)</f>
        <v/>
      </c>
      <c r="E300" s="2" t="str">
        <f>IF(B300="","",SUMIFS(Journal_entrees_et_sorties!D$8:D$400,Journal_entrees_et_sorties!C$8:C$400,C300))</f>
        <v/>
      </c>
      <c r="F300" s="2" t="str">
        <f>IF(Inventaire!D300="","",Inventaire!D300/Base_de_donnee_articles!G300)</f>
        <v/>
      </c>
      <c r="G300" s="3" t="str">
        <f t="shared" si="4"/>
        <v/>
      </c>
    </row>
    <row r="301" spans="2:7" x14ac:dyDescent="0.35">
      <c r="B301" s="2" t="str">
        <f>IF(Base_de_donnee_articles!B301="","",Base_de_donnee_articles!B301)</f>
        <v/>
      </c>
      <c r="C301" s="2" t="str">
        <f>IF(Base_de_donnee_articles!C301="","",Base_de_donnee_articles!C301)</f>
        <v/>
      </c>
      <c r="D301" s="2" t="str">
        <f>IF(Inventaire!C301="","",Inventaire!C301/Base_de_donnee_articles!G301)</f>
        <v/>
      </c>
      <c r="E301" s="2" t="str">
        <f>IF(B301="","",SUMIFS(Journal_entrees_et_sorties!D$8:D$400,Journal_entrees_et_sorties!C$8:C$400,C301))</f>
        <v/>
      </c>
      <c r="F301" s="2" t="str">
        <f>IF(Inventaire!D301="","",Inventaire!D301/Base_de_donnee_articles!G301)</f>
        <v/>
      </c>
      <c r="G301" s="3" t="str">
        <f t="shared" si="4"/>
        <v/>
      </c>
    </row>
    <row r="302" spans="2:7" x14ac:dyDescent="0.35">
      <c r="B302" s="2" t="str">
        <f>IF(Base_de_donnee_articles!B302="","",Base_de_donnee_articles!B302)</f>
        <v/>
      </c>
      <c r="C302" s="2" t="str">
        <f>IF(Base_de_donnee_articles!C302="","",Base_de_donnee_articles!C302)</f>
        <v/>
      </c>
      <c r="D302" s="2" t="str">
        <f>IF(Inventaire!C302="","",Inventaire!C302/Base_de_donnee_articles!G302)</f>
        <v/>
      </c>
      <c r="E302" s="2" t="str">
        <f>IF(B302="","",SUMIFS(Journal_entrees_et_sorties!D$8:D$400,Journal_entrees_et_sorties!C$8:C$400,C302))</f>
        <v/>
      </c>
      <c r="F302" s="2" t="str">
        <f>IF(Inventaire!D302="","",Inventaire!D302/Base_de_donnee_articles!G302)</f>
        <v/>
      </c>
      <c r="G302" s="3" t="str">
        <f t="shared" si="4"/>
        <v/>
      </c>
    </row>
    <row r="303" spans="2:7" x14ac:dyDescent="0.35">
      <c r="B303" s="2" t="str">
        <f>IF(Base_de_donnee_articles!B303="","",Base_de_donnee_articles!B303)</f>
        <v/>
      </c>
      <c r="C303" s="2" t="str">
        <f>IF(Base_de_donnee_articles!C303="","",Base_de_donnee_articles!C303)</f>
        <v/>
      </c>
      <c r="D303" s="2" t="str">
        <f>IF(Inventaire!C303="","",Inventaire!C303/Base_de_donnee_articles!G303)</f>
        <v/>
      </c>
      <c r="E303" s="2" t="str">
        <f>IF(B303="","",SUMIFS(Journal_entrees_et_sorties!D$8:D$400,Journal_entrees_et_sorties!C$8:C$400,C303))</f>
        <v/>
      </c>
      <c r="F303" s="2" t="str">
        <f>IF(Inventaire!D303="","",Inventaire!D303/Base_de_donnee_articles!G303)</f>
        <v/>
      </c>
      <c r="G303" s="3" t="str">
        <f t="shared" si="4"/>
        <v/>
      </c>
    </row>
    <row r="304" spans="2:7" x14ac:dyDescent="0.35">
      <c r="B304" s="2" t="str">
        <f>IF(Base_de_donnee_articles!B304="","",Base_de_donnee_articles!B304)</f>
        <v/>
      </c>
      <c r="C304" s="2" t="str">
        <f>IF(Base_de_donnee_articles!C304="","",Base_de_donnee_articles!C304)</f>
        <v/>
      </c>
      <c r="D304" s="2" t="str">
        <f>IF(Inventaire!C304="","",Inventaire!C304/Base_de_donnee_articles!G304)</f>
        <v/>
      </c>
      <c r="E304" s="2" t="str">
        <f>IF(B304="","",SUMIFS(Journal_entrees_et_sorties!D$8:D$400,Journal_entrees_et_sorties!C$8:C$400,C304))</f>
        <v/>
      </c>
      <c r="F304" s="2" t="str">
        <f>IF(Inventaire!D304="","",Inventaire!D304/Base_de_donnee_articles!G304)</f>
        <v/>
      </c>
      <c r="G304" s="3" t="str">
        <f t="shared" si="4"/>
        <v/>
      </c>
    </row>
    <row r="305" spans="2:7" x14ac:dyDescent="0.35">
      <c r="B305" s="2" t="str">
        <f>IF(Base_de_donnee_articles!B305="","",Base_de_donnee_articles!B305)</f>
        <v/>
      </c>
      <c r="C305" s="2" t="str">
        <f>IF(Base_de_donnee_articles!C305="","",Base_de_donnee_articles!C305)</f>
        <v/>
      </c>
      <c r="D305" s="2" t="str">
        <f>IF(Inventaire!C305="","",Inventaire!C305/Base_de_donnee_articles!G305)</f>
        <v/>
      </c>
      <c r="E305" s="2" t="str">
        <f>IF(B305="","",SUMIFS(Journal_entrees_et_sorties!D$8:D$400,Journal_entrees_et_sorties!C$8:C$400,C305))</f>
        <v/>
      </c>
      <c r="F305" s="2" t="str">
        <f>IF(Inventaire!D305="","",Inventaire!D305/Base_de_donnee_articles!G305)</f>
        <v/>
      </c>
      <c r="G305" s="3" t="str">
        <f t="shared" si="4"/>
        <v/>
      </c>
    </row>
    <row r="306" spans="2:7" x14ac:dyDescent="0.35">
      <c r="B306" s="2" t="str">
        <f>IF(Base_de_donnee_articles!B306="","",Base_de_donnee_articles!B306)</f>
        <v/>
      </c>
      <c r="C306" s="2" t="str">
        <f>IF(Base_de_donnee_articles!C306="","",Base_de_donnee_articles!C306)</f>
        <v/>
      </c>
      <c r="D306" s="2" t="str">
        <f>IF(Inventaire!C306="","",Inventaire!C306/Base_de_donnee_articles!G306)</f>
        <v/>
      </c>
      <c r="E306" s="2" t="str">
        <f>IF(B306="","",SUMIFS(Journal_entrees_et_sorties!D$8:D$400,Journal_entrees_et_sorties!C$8:C$400,C306))</f>
        <v/>
      </c>
      <c r="F306" s="2" t="str">
        <f>IF(Inventaire!D306="","",Inventaire!D306/Base_de_donnee_articles!G306)</f>
        <v/>
      </c>
      <c r="G306" s="3" t="str">
        <f t="shared" si="4"/>
        <v/>
      </c>
    </row>
    <row r="307" spans="2:7" x14ac:dyDescent="0.35">
      <c r="B307" s="2" t="str">
        <f>IF(Base_de_donnee_articles!B307="","",Base_de_donnee_articles!B307)</f>
        <v/>
      </c>
      <c r="C307" s="2" t="str">
        <f>IF(Base_de_donnee_articles!C307="","",Base_de_donnee_articles!C307)</f>
        <v/>
      </c>
      <c r="D307" s="2" t="str">
        <f>IF(Inventaire!C307="","",Inventaire!C307/Base_de_donnee_articles!G307)</f>
        <v/>
      </c>
      <c r="E307" s="2" t="str">
        <f>IF(B307="","",SUMIFS(Journal_entrees_et_sorties!D$8:D$400,Journal_entrees_et_sorties!C$8:C$400,C307))</f>
        <v/>
      </c>
      <c r="F307" s="2" t="str">
        <f>IF(Inventaire!D307="","",Inventaire!D307/Base_de_donnee_articles!G307)</f>
        <v/>
      </c>
      <c r="G307" s="3" t="str">
        <f t="shared" si="4"/>
        <v/>
      </c>
    </row>
    <row r="308" spans="2:7" x14ac:dyDescent="0.35">
      <c r="B308" s="2" t="str">
        <f>IF(Base_de_donnee_articles!B308="","",Base_de_donnee_articles!B308)</f>
        <v/>
      </c>
      <c r="C308" s="2" t="str">
        <f>IF(Base_de_donnee_articles!C308="","",Base_de_donnee_articles!C308)</f>
        <v/>
      </c>
      <c r="D308" s="2" t="str">
        <f>IF(Inventaire!C308="","",Inventaire!C308/Base_de_donnee_articles!G308)</f>
        <v/>
      </c>
      <c r="E308" s="2" t="str">
        <f>IF(B308="","",SUMIFS(Journal_entrees_et_sorties!D$8:D$400,Journal_entrees_et_sorties!C$8:C$400,C308))</f>
        <v/>
      </c>
      <c r="F308" s="2" t="str">
        <f>IF(Inventaire!D308="","",Inventaire!D308/Base_de_donnee_articles!G308)</f>
        <v/>
      </c>
      <c r="G308" s="3" t="str">
        <f t="shared" si="4"/>
        <v/>
      </c>
    </row>
    <row r="309" spans="2:7" x14ac:dyDescent="0.35">
      <c r="B309" s="2" t="str">
        <f>IF(Base_de_donnee_articles!B309="","",Base_de_donnee_articles!B309)</f>
        <v/>
      </c>
      <c r="C309" s="2" t="str">
        <f>IF(Base_de_donnee_articles!C309="","",Base_de_donnee_articles!C309)</f>
        <v/>
      </c>
      <c r="D309" s="2" t="str">
        <f>IF(Inventaire!C309="","",Inventaire!C309/Base_de_donnee_articles!G309)</f>
        <v/>
      </c>
      <c r="E309" s="2" t="str">
        <f>IF(B309="","",SUMIFS(Journal_entrees_et_sorties!D$8:D$400,Journal_entrees_et_sorties!C$8:C$400,C309))</f>
        <v/>
      </c>
      <c r="F309" s="2" t="str">
        <f>IF(Inventaire!D309="","",Inventaire!D309/Base_de_donnee_articles!G309)</f>
        <v/>
      </c>
      <c r="G309" s="3" t="str">
        <f t="shared" si="4"/>
        <v/>
      </c>
    </row>
    <row r="310" spans="2:7" x14ac:dyDescent="0.35">
      <c r="B310" s="2" t="str">
        <f>IF(Base_de_donnee_articles!B310="","",Base_de_donnee_articles!B310)</f>
        <v/>
      </c>
      <c r="C310" s="2" t="str">
        <f>IF(Base_de_donnee_articles!C310="","",Base_de_donnee_articles!C310)</f>
        <v/>
      </c>
      <c r="D310" s="2" t="str">
        <f>IF(Inventaire!C310="","",Inventaire!C310/Base_de_donnee_articles!G310)</f>
        <v/>
      </c>
      <c r="E310" s="2" t="str">
        <f>IF(B310="","",SUMIFS(Journal_entrees_et_sorties!D$8:D$400,Journal_entrees_et_sorties!C$8:C$400,C310))</f>
        <v/>
      </c>
      <c r="F310" s="2" t="str">
        <f>IF(Inventaire!D310="","",Inventaire!D310/Base_de_donnee_articles!G310)</f>
        <v/>
      </c>
      <c r="G310" s="3" t="str">
        <f t="shared" si="4"/>
        <v/>
      </c>
    </row>
    <row r="311" spans="2:7" x14ac:dyDescent="0.35">
      <c r="B311" s="2" t="str">
        <f>IF(Base_de_donnee_articles!B311="","",Base_de_donnee_articles!B311)</f>
        <v/>
      </c>
      <c r="C311" s="2" t="str">
        <f>IF(Base_de_donnee_articles!C311="","",Base_de_donnee_articles!C311)</f>
        <v/>
      </c>
      <c r="D311" s="2" t="str">
        <f>IF(Inventaire!C311="","",Inventaire!C311/Base_de_donnee_articles!G311)</f>
        <v/>
      </c>
      <c r="E311" s="2" t="str">
        <f>IF(B311="","",SUMIFS(Journal_entrees_et_sorties!D$8:D$400,Journal_entrees_et_sorties!C$8:C$400,C311))</f>
        <v/>
      </c>
      <c r="F311" s="2" t="str">
        <f>IF(Inventaire!D311="","",Inventaire!D311/Base_de_donnee_articles!G311)</f>
        <v/>
      </c>
      <c r="G311" s="3" t="str">
        <f t="shared" si="4"/>
        <v/>
      </c>
    </row>
    <row r="312" spans="2:7" x14ac:dyDescent="0.35">
      <c r="B312" s="2" t="str">
        <f>IF(Base_de_donnee_articles!B312="","",Base_de_donnee_articles!B312)</f>
        <v/>
      </c>
      <c r="C312" s="2" t="str">
        <f>IF(Base_de_donnee_articles!C312="","",Base_de_donnee_articles!C312)</f>
        <v/>
      </c>
      <c r="D312" s="2" t="str">
        <f>IF(Inventaire!C312="","",Inventaire!C312/Base_de_donnee_articles!G312)</f>
        <v/>
      </c>
      <c r="E312" s="2" t="str">
        <f>IF(B312="","",SUMIFS(Journal_entrees_et_sorties!D$8:D$400,Journal_entrees_et_sorties!C$8:C$400,C312))</f>
        <v/>
      </c>
      <c r="F312" s="2" t="str">
        <f>IF(Inventaire!D312="","",Inventaire!D312/Base_de_donnee_articles!G312)</f>
        <v/>
      </c>
      <c r="G312" s="3" t="str">
        <f t="shared" si="4"/>
        <v/>
      </c>
    </row>
    <row r="313" spans="2:7" x14ac:dyDescent="0.35">
      <c r="B313" s="2" t="str">
        <f>IF(Base_de_donnee_articles!B313="","",Base_de_donnee_articles!B313)</f>
        <v/>
      </c>
      <c r="C313" s="2" t="str">
        <f>IF(Base_de_donnee_articles!C313="","",Base_de_donnee_articles!C313)</f>
        <v/>
      </c>
      <c r="D313" s="2" t="str">
        <f>IF(Inventaire!C313="","",Inventaire!C313/Base_de_donnee_articles!G313)</f>
        <v/>
      </c>
      <c r="E313" s="2" t="str">
        <f>IF(B313="","",SUMIFS(Journal_entrees_et_sorties!D$8:D$400,Journal_entrees_et_sorties!C$8:C$400,C313))</f>
        <v/>
      </c>
      <c r="F313" s="2" t="str">
        <f>IF(Inventaire!D313="","",Inventaire!D313/Base_de_donnee_articles!G313)</f>
        <v/>
      </c>
      <c r="G313" s="3" t="str">
        <f t="shared" si="4"/>
        <v/>
      </c>
    </row>
    <row r="314" spans="2:7" x14ac:dyDescent="0.35">
      <c r="B314" s="2" t="str">
        <f>IF(Base_de_donnee_articles!B314="","",Base_de_donnee_articles!B314)</f>
        <v/>
      </c>
      <c r="C314" s="2" t="str">
        <f>IF(Base_de_donnee_articles!C314="","",Base_de_donnee_articles!C314)</f>
        <v/>
      </c>
      <c r="D314" s="2" t="str">
        <f>IF(Inventaire!C314="","",Inventaire!C314/Base_de_donnee_articles!G314)</f>
        <v/>
      </c>
      <c r="E314" s="2" t="str">
        <f>IF(B314="","",SUMIFS(Journal_entrees_et_sorties!D$8:D$400,Journal_entrees_et_sorties!C$8:C$400,C314))</f>
        <v/>
      </c>
      <c r="F314" s="2" t="str">
        <f>IF(Inventaire!D314="","",Inventaire!D314/Base_de_donnee_articles!G314)</f>
        <v/>
      </c>
      <c r="G314" s="3" t="str">
        <f t="shared" si="4"/>
        <v/>
      </c>
    </row>
    <row r="315" spans="2:7" x14ac:dyDescent="0.35">
      <c r="B315" s="2" t="str">
        <f>IF(Base_de_donnee_articles!B315="","",Base_de_donnee_articles!B315)</f>
        <v/>
      </c>
      <c r="C315" s="2" t="str">
        <f>IF(Base_de_donnee_articles!C315="","",Base_de_donnee_articles!C315)</f>
        <v/>
      </c>
      <c r="D315" s="2" t="str">
        <f>IF(Inventaire!C315="","",Inventaire!C315/Base_de_donnee_articles!G315)</f>
        <v/>
      </c>
      <c r="E315" s="2" t="str">
        <f>IF(B315="","",SUMIFS(Journal_entrees_et_sorties!D$8:D$400,Journal_entrees_et_sorties!C$8:C$400,C315))</f>
        <v/>
      </c>
      <c r="F315" s="2" t="str">
        <f>IF(Inventaire!D315="","",Inventaire!D315/Base_de_donnee_articles!G315)</f>
        <v/>
      </c>
      <c r="G315" s="3" t="str">
        <f t="shared" si="4"/>
        <v/>
      </c>
    </row>
    <row r="316" spans="2:7" x14ac:dyDescent="0.35">
      <c r="B316" s="2" t="str">
        <f>IF(Base_de_donnee_articles!B316="","",Base_de_donnee_articles!B316)</f>
        <v/>
      </c>
      <c r="C316" s="2" t="str">
        <f>IF(Base_de_donnee_articles!C316="","",Base_de_donnee_articles!C316)</f>
        <v/>
      </c>
      <c r="D316" s="2" t="str">
        <f>IF(Inventaire!C316="","",Inventaire!C316/Base_de_donnee_articles!G316)</f>
        <v/>
      </c>
      <c r="E316" s="2" t="str">
        <f>IF(B316="","",SUMIFS(Journal_entrees_et_sorties!D$8:D$400,Journal_entrees_et_sorties!C$8:C$400,C316))</f>
        <v/>
      </c>
      <c r="F316" s="2" t="str">
        <f>IF(Inventaire!D316="","",Inventaire!D316/Base_de_donnee_articles!G316)</f>
        <v/>
      </c>
      <c r="G316" s="3" t="str">
        <f t="shared" si="4"/>
        <v/>
      </c>
    </row>
    <row r="317" spans="2:7" x14ac:dyDescent="0.35">
      <c r="B317" s="2" t="str">
        <f>IF(Base_de_donnee_articles!B317="","",Base_de_donnee_articles!B317)</f>
        <v/>
      </c>
      <c r="C317" s="2" t="str">
        <f>IF(Base_de_donnee_articles!C317="","",Base_de_donnee_articles!C317)</f>
        <v/>
      </c>
      <c r="D317" s="2" t="str">
        <f>IF(Inventaire!C317="","",Inventaire!C317/Base_de_donnee_articles!G317)</f>
        <v/>
      </c>
      <c r="E317" s="2" t="str">
        <f>IF(B317="","",SUMIFS(Journal_entrees_et_sorties!D$8:D$400,Journal_entrees_et_sorties!C$8:C$400,C317))</f>
        <v/>
      </c>
      <c r="F317" s="2" t="str">
        <f>IF(Inventaire!D317="","",Inventaire!D317/Base_de_donnee_articles!G317)</f>
        <v/>
      </c>
      <c r="G317" s="3" t="str">
        <f t="shared" si="4"/>
        <v/>
      </c>
    </row>
    <row r="318" spans="2:7" x14ac:dyDescent="0.35">
      <c r="B318" s="2" t="str">
        <f>IF(Base_de_donnee_articles!B318="","",Base_de_donnee_articles!B318)</f>
        <v/>
      </c>
      <c r="C318" s="2" t="str">
        <f>IF(Base_de_donnee_articles!C318="","",Base_de_donnee_articles!C318)</f>
        <v/>
      </c>
      <c r="D318" s="2" t="str">
        <f>IF(Inventaire!C318="","",Inventaire!C318/Base_de_donnee_articles!G318)</f>
        <v/>
      </c>
      <c r="E318" s="2" t="str">
        <f>IF(B318="","",SUMIFS(Journal_entrees_et_sorties!D$8:D$400,Journal_entrees_et_sorties!C$8:C$400,C318))</f>
        <v/>
      </c>
      <c r="F318" s="2" t="str">
        <f>IF(Inventaire!D318="","",Inventaire!D318/Base_de_donnee_articles!G318)</f>
        <v/>
      </c>
      <c r="G318" s="3" t="str">
        <f t="shared" si="4"/>
        <v/>
      </c>
    </row>
    <row r="319" spans="2:7" x14ac:dyDescent="0.35">
      <c r="B319" s="2" t="str">
        <f>IF(Base_de_donnee_articles!B319="","",Base_de_donnee_articles!B319)</f>
        <v/>
      </c>
      <c r="C319" s="2" t="str">
        <f>IF(Base_de_donnee_articles!C319="","",Base_de_donnee_articles!C319)</f>
        <v/>
      </c>
      <c r="D319" s="2" t="str">
        <f>IF(Inventaire!C319="","",Inventaire!C319/Base_de_donnee_articles!G319)</f>
        <v/>
      </c>
      <c r="E319" s="2" t="str">
        <f>IF(B319="","",SUMIFS(Journal_entrees_et_sorties!D$8:D$400,Journal_entrees_et_sorties!C$8:C$400,C319))</f>
        <v/>
      </c>
      <c r="F319" s="2" t="str">
        <f>IF(Inventaire!D319="","",Inventaire!D319/Base_de_donnee_articles!G319)</f>
        <v/>
      </c>
      <c r="G319" s="3" t="str">
        <f t="shared" si="4"/>
        <v/>
      </c>
    </row>
    <row r="320" spans="2:7" x14ac:dyDescent="0.35">
      <c r="B320" s="2" t="str">
        <f>IF(Base_de_donnee_articles!B320="","",Base_de_donnee_articles!B320)</f>
        <v/>
      </c>
      <c r="C320" s="2" t="str">
        <f>IF(Base_de_donnee_articles!C320="","",Base_de_donnee_articles!C320)</f>
        <v/>
      </c>
      <c r="D320" s="2" t="str">
        <f>IF(Inventaire!C320="","",Inventaire!C320/Base_de_donnee_articles!G320)</f>
        <v/>
      </c>
      <c r="E320" s="2" t="str">
        <f>IF(B320="","",SUMIFS(Journal_entrees_et_sorties!D$8:D$400,Journal_entrees_et_sorties!C$8:C$400,C320))</f>
        <v/>
      </c>
      <c r="F320" s="2" t="str">
        <f>IF(Inventaire!D320="","",Inventaire!D320/Base_de_donnee_articles!G320)</f>
        <v/>
      </c>
      <c r="G320" s="3" t="str">
        <f t="shared" si="4"/>
        <v/>
      </c>
    </row>
    <row r="321" spans="2:7" x14ac:dyDescent="0.35">
      <c r="B321" s="2" t="str">
        <f>IF(Base_de_donnee_articles!B321="","",Base_de_donnee_articles!B321)</f>
        <v/>
      </c>
      <c r="C321" s="2" t="str">
        <f>IF(Base_de_donnee_articles!C321="","",Base_de_donnee_articles!C321)</f>
        <v/>
      </c>
      <c r="D321" s="2" t="str">
        <f>IF(Inventaire!C321="","",Inventaire!C321/Base_de_donnee_articles!G321)</f>
        <v/>
      </c>
      <c r="E321" s="2" t="str">
        <f>IF(B321="","",SUMIFS(Journal_entrees_et_sorties!D$8:D$400,Journal_entrees_et_sorties!C$8:C$400,C321))</f>
        <v/>
      </c>
      <c r="F321" s="2" t="str">
        <f>IF(Inventaire!D321="","",Inventaire!D321/Base_de_donnee_articles!G321)</f>
        <v/>
      </c>
      <c r="G321" s="3" t="str">
        <f t="shared" si="4"/>
        <v/>
      </c>
    </row>
    <row r="322" spans="2:7" x14ac:dyDescent="0.35">
      <c r="B322" s="2" t="str">
        <f>IF(Base_de_donnee_articles!B322="","",Base_de_donnee_articles!B322)</f>
        <v/>
      </c>
      <c r="C322" s="2" t="str">
        <f>IF(Base_de_donnee_articles!C322="","",Base_de_donnee_articles!C322)</f>
        <v/>
      </c>
      <c r="D322" s="2" t="str">
        <f>IF(Inventaire!C322="","",Inventaire!C322/Base_de_donnee_articles!G322)</f>
        <v/>
      </c>
      <c r="E322" s="2" t="str">
        <f>IF(B322="","",SUMIFS(Journal_entrees_et_sorties!D$8:D$400,Journal_entrees_et_sorties!C$8:C$400,C322))</f>
        <v/>
      </c>
      <c r="F322" s="2" t="str">
        <f>IF(Inventaire!D322="","",Inventaire!D322/Base_de_donnee_articles!G322)</f>
        <v/>
      </c>
      <c r="G322" s="3" t="str">
        <f t="shared" si="4"/>
        <v/>
      </c>
    </row>
    <row r="323" spans="2:7" x14ac:dyDescent="0.35">
      <c r="B323" s="2" t="str">
        <f>IF(Base_de_donnee_articles!B323="","",Base_de_donnee_articles!B323)</f>
        <v/>
      </c>
      <c r="C323" s="2" t="str">
        <f>IF(Base_de_donnee_articles!C323="","",Base_de_donnee_articles!C323)</f>
        <v/>
      </c>
      <c r="D323" s="2" t="str">
        <f>IF(Inventaire!C323="","",Inventaire!C323/Base_de_donnee_articles!G323)</f>
        <v/>
      </c>
      <c r="E323" s="2" t="str">
        <f>IF(B323="","",SUMIFS(Journal_entrees_et_sorties!D$8:D$400,Journal_entrees_et_sorties!C$8:C$400,C323))</f>
        <v/>
      </c>
      <c r="F323" s="2" t="str">
        <f>IF(Inventaire!D323="","",Inventaire!D323/Base_de_donnee_articles!G323)</f>
        <v/>
      </c>
      <c r="G323" s="3" t="str">
        <f t="shared" si="4"/>
        <v/>
      </c>
    </row>
    <row r="324" spans="2:7" x14ac:dyDescent="0.35">
      <c r="B324" s="2" t="str">
        <f>IF(Base_de_donnee_articles!B324="","",Base_de_donnee_articles!B324)</f>
        <v/>
      </c>
      <c r="C324" s="2" t="str">
        <f>IF(Base_de_donnee_articles!C324="","",Base_de_donnee_articles!C324)</f>
        <v/>
      </c>
      <c r="D324" s="2" t="str">
        <f>IF(Inventaire!C324="","",Inventaire!C324/Base_de_donnee_articles!G324)</f>
        <v/>
      </c>
      <c r="E324" s="2" t="str">
        <f>IF(B324="","",SUMIFS(Journal_entrees_et_sorties!D$8:D$400,Journal_entrees_et_sorties!C$8:C$400,C324))</f>
        <v/>
      </c>
      <c r="F324" s="2" t="str">
        <f>IF(Inventaire!D324="","",Inventaire!D324/Base_de_donnee_articles!G324)</f>
        <v/>
      </c>
      <c r="G324" s="3" t="str">
        <f t="shared" si="4"/>
        <v/>
      </c>
    </row>
    <row r="325" spans="2:7" x14ac:dyDescent="0.35">
      <c r="B325" s="2" t="str">
        <f>IF(Base_de_donnee_articles!B325="","",Base_de_donnee_articles!B325)</f>
        <v/>
      </c>
      <c r="C325" s="2" t="str">
        <f>IF(Base_de_donnee_articles!C325="","",Base_de_donnee_articles!C325)</f>
        <v/>
      </c>
      <c r="D325" s="2" t="str">
        <f>IF(Inventaire!C325="","",Inventaire!C325/Base_de_donnee_articles!G325)</f>
        <v/>
      </c>
      <c r="E325" s="2" t="str">
        <f>IF(B325="","",SUMIFS(Journal_entrees_et_sorties!D$8:D$400,Journal_entrees_et_sorties!C$8:C$400,C325))</f>
        <v/>
      </c>
      <c r="F325" s="2" t="str">
        <f>IF(Inventaire!D325="","",Inventaire!D325/Base_de_donnee_articles!G325)</f>
        <v/>
      </c>
      <c r="G325" s="3" t="str">
        <f t="shared" si="4"/>
        <v/>
      </c>
    </row>
    <row r="326" spans="2:7" x14ac:dyDescent="0.35">
      <c r="B326" s="2" t="str">
        <f>IF(Base_de_donnee_articles!B326="","",Base_de_donnee_articles!B326)</f>
        <v/>
      </c>
      <c r="C326" s="2" t="str">
        <f>IF(Base_de_donnee_articles!C326="","",Base_de_donnee_articles!C326)</f>
        <v/>
      </c>
      <c r="D326" s="2" t="str">
        <f>IF(Inventaire!C326="","",Inventaire!C326/Base_de_donnee_articles!G326)</f>
        <v/>
      </c>
      <c r="E326" s="2" t="str">
        <f>IF(B326="","",SUMIFS(Journal_entrees_et_sorties!D$8:D$400,Journal_entrees_et_sorties!C$8:C$400,C326))</f>
        <v/>
      </c>
      <c r="F326" s="2" t="str">
        <f>IF(Inventaire!D326="","",Inventaire!D326/Base_de_donnee_articles!G326)</f>
        <v/>
      </c>
      <c r="G326" s="3" t="str">
        <f t="shared" si="4"/>
        <v/>
      </c>
    </row>
    <row r="327" spans="2:7" x14ac:dyDescent="0.35">
      <c r="B327" s="2" t="str">
        <f>IF(Base_de_donnee_articles!B327="","",Base_de_donnee_articles!B327)</f>
        <v/>
      </c>
      <c r="C327" s="2" t="str">
        <f>IF(Base_de_donnee_articles!C327="","",Base_de_donnee_articles!C327)</f>
        <v/>
      </c>
      <c r="D327" s="2" t="str">
        <f>IF(Inventaire!C327="","",Inventaire!C327/Base_de_donnee_articles!G327)</f>
        <v/>
      </c>
      <c r="E327" s="2" t="str">
        <f>IF(B327="","",SUMIFS(Journal_entrees_et_sorties!D$8:D$400,Journal_entrees_et_sorties!C$8:C$400,C327))</f>
        <v/>
      </c>
      <c r="F327" s="2" t="str">
        <f>IF(Inventaire!D327="","",Inventaire!D327/Base_de_donnee_articles!G327)</f>
        <v/>
      </c>
      <c r="G327" s="3" t="str">
        <f t="shared" si="4"/>
        <v/>
      </c>
    </row>
    <row r="328" spans="2:7" x14ac:dyDescent="0.35">
      <c r="B328" s="2" t="str">
        <f>IF(Base_de_donnee_articles!B328="","",Base_de_donnee_articles!B328)</f>
        <v/>
      </c>
      <c r="C328" s="2" t="str">
        <f>IF(Base_de_donnee_articles!C328="","",Base_de_donnee_articles!C328)</f>
        <v/>
      </c>
      <c r="D328" s="2" t="str">
        <f>IF(Inventaire!C328="","",Inventaire!C328/Base_de_donnee_articles!G328)</f>
        <v/>
      </c>
      <c r="E328" s="2" t="str">
        <f>IF(B328="","",SUMIFS(Journal_entrees_et_sorties!D$8:D$400,Journal_entrees_et_sorties!C$8:C$400,C328))</f>
        <v/>
      </c>
      <c r="F328" s="2" t="str">
        <f>IF(Inventaire!D328="","",Inventaire!D328/Base_de_donnee_articles!G328)</f>
        <v/>
      </c>
      <c r="G328" s="3" t="str">
        <f t="shared" si="4"/>
        <v/>
      </c>
    </row>
    <row r="329" spans="2:7" x14ac:dyDescent="0.35">
      <c r="B329" s="2" t="str">
        <f>IF(Base_de_donnee_articles!B329="","",Base_de_donnee_articles!B329)</f>
        <v/>
      </c>
      <c r="C329" s="2" t="str">
        <f>IF(Base_de_donnee_articles!C329="","",Base_de_donnee_articles!C329)</f>
        <v/>
      </c>
      <c r="D329" s="2" t="str">
        <f>IF(Inventaire!C329="","",Inventaire!C329/Base_de_donnee_articles!G329)</f>
        <v/>
      </c>
      <c r="E329" s="2" t="str">
        <f>IF(B329="","",SUMIFS(Journal_entrees_et_sorties!D$8:D$400,Journal_entrees_et_sorties!C$8:C$400,C329))</f>
        <v/>
      </c>
      <c r="F329" s="2" t="str">
        <f>IF(Inventaire!D329="","",Inventaire!D329/Base_de_donnee_articles!G329)</f>
        <v/>
      </c>
      <c r="G329" s="3" t="str">
        <f t="shared" ref="G329:G392" si="5">IF(C329="","",D329+E329-F329)</f>
        <v/>
      </c>
    </row>
    <row r="330" spans="2:7" x14ac:dyDescent="0.35">
      <c r="B330" s="2" t="str">
        <f>IF(Base_de_donnee_articles!B330="","",Base_de_donnee_articles!B330)</f>
        <v/>
      </c>
      <c r="C330" s="2" t="str">
        <f>IF(Base_de_donnee_articles!C330="","",Base_de_donnee_articles!C330)</f>
        <v/>
      </c>
      <c r="D330" s="2" t="str">
        <f>IF(Inventaire!C330="","",Inventaire!C330/Base_de_donnee_articles!G330)</f>
        <v/>
      </c>
      <c r="E330" s="2" t="str">
        <f>IF(B330="","",SUMIFS(Journal_entrees_et_sorties!D$8:D$400,Journal_entrees_et_sorties!C$8:C$400,C330))</f>
        <v/>
      </c>
      <c r="F330" s="2" t="str">
        <f>IF(Inventaire!D330="","",Inventaire!D330/Base_de_donnee_articles!G330)</f>
        <v/>
      </c>
      <c r="G330" s="3" t="str">
        <f t="shared" si="5"/>
        <v/>
      </c>
    </row>
    <row r="331" spans="2:7" x14ac:dyDescent="0.35">
      <c r="B331" s="2" t="str">
        <f>IF(Base_de_donnee_articles!B331="","",Base_de_donnee_articles!B331)</f>
        <v/>
      </c>
      <c r="C331" s="2" t="str">
        <f>IF(Base_de_donnee_articles!C331="","",Base_de_donnee_articles!C331)</f>
        <v/>
      </c>
      <c r="D331" s="2" t="str">
        <f>IF(Inventaire!C331="","",Inventaire!C331/Base_de_donnee_articles!G331)</f>
        <v/>
      </c>
      <c r="E331" s="2" t="str">
        <f>IF(B331="","",SUMIFS(Journal_entrees_et_sorties!D$8:D$400,Journal_entrees_et_sorties!C$8:C$400,C331))</f>
        <v/>
      </c>
      <c r="F331" s="2" t="str">
        <f>IF(Inventaire!D331="","",Inventaire!D331/Base_de_donnee_articles!G331)</f>
        <v/>
      </c>
      <c r="G331" s="3" t="str">
        <f t="shared" si="5"/>
        <v/>
      </c>
    </row>
    <row r="332" spans="2:7" x14ac:dyDescent="0.35">
      <c r="B332" s="2" t="str">
        <f>IF(Base_de_donnee_articles!B332="","",Base_de_donnee_articles!B332)</f>
        <v/>
      </c>
      <c r="C332" s="2" t="str">
        <f>IF(Base_de_donnee_articles!C332="","",Base_de_donnee_articles!C332)</f>
        <v/>
      </c>
      <c r="D332" s="2" t="str">
        <f>IF(Inventaire!C332="","",Inventaire!C332/Base_de_donnee_articles!G332)</f>
        <v/>
      </c>
      <c r="E332" s="2" t="str">
        <f>IF(B332="","",SUMIFS(Journal_entrees_et_sorties!D$8:D$400,Journal_entrees_et_sorties!C$8:C$400,C332))</f>
        <v/>
      </c>
      <c r="F332" s="2" t="str">
        <f>IF(Inventaire!D332="","",Inventaire!D332/Base_de_donnee_articles!G332)</f>
        <v/>
      </c>
      <c r="G332" s="3" t="str">
        <f t="shared" si="5"/>
        <v/>
      </c>
    </row>
    <row r="333" spans="2:7" x14ac:dyDescent="0.35">
      <c r="B333" s="2" t="str">
        <f>IF(Base_de_donnee_articles!B333="","",Base_de_donnee_articles!B333)</f>
        <v/>
      </c>
      <c r="C333" s="2" t="str">
        <f>IF(Base_de_donnee_articles!C333="","",Base_de_donnee_articles!C333)</f>
        <v/>
      </c>
      <c r="D333" s="2" t="str">
        <f>IF(Inventaire!C333="","",Inventaire!C333/Base_de_donnee_articles!G333)</f>
        <v/>
      </c>
      <c r="E333" s="2" t="str">
        <f>IF(B333="","",SUMIFS(Journal_entrees_et_sorties!D$8:D$400,Journal_entrees_et_sorties!C$8:C$400,C333))</f>
        <v/>
      </c>
      <c r="F333" s="2" t="str">
        <f>IF(Inventaire!D333="","",Inventaire!D333/Base_de_donnee_articles!G333)</f>
        <v/>
      </c>
      <c r="G333" s="3" t="str">
        <f t="shared" si="5"/>
        <v/>
      </c>
    </row>
    <row r="334" spans="2:7" x14ac:dyDescent="0.35">
      <c r="B334" s="2" t="str">
        <f>IF(Base_de_donnee_articles!B334="","",Base_de_donnee_articles!B334)</f>
        <v/>
      </c>
      <c r="C334" s="2" t="str">
        <f>IF(Base_de_donnee_articles!C334="","",Base_de_donnee_articles!C334)</f>
        <v/>
      </c>
      <c r="D334" s="2" t="str">
        <f>IF(Inventaire!C334="","",Inventaire!C334/Base_de_donnee_articles!G334)</f>
        <v/>
      </c>
      <c r="E334" s="2" t="str">
        <f>IF(B334="","",SUMIFS(Journal_entrees_et_sorties!D$8:D$400,Journal_entrees_et_sorties!C$8:C$400,C334))</f>
        <v/>
      </c>
      <c r="F334" s="2" t="str">
        <f>IF(Inventaire!D334="","",Inventaire!D334/Base_de_donnee_articles!G334)</f>
        <v/>
      </c>
      <c r="G334" s="3" t="str">
        <f t="shared" si="5"/>
        <v/>
      </c>
    </row>
    <row r="335" spans="2:7" x14ac:dyDescent="0.35">
      <c r="B335" s="2" t="str">
        <f>IF(Base_de_donnee_articles!B335="","",Base_de_donnee_articles!B335)</f>
        <v/>
      </c>
      <c r="C335" s="2" t="str">
        <f>IF(Base_de_donnee_articles!C335="","",Base_de_donnee_articles!C335)</f>
        <v/>
      </c>
      <c r="D335" s="2" t="str">
        <f>IF(Inventaire!C335="","",Inventaire!C335/Base_de_donnee_articles!G335)</f>
        <v/>
      </c>
      <c r="E335" s="2" t="str">
        <f>IF(B335="","",SUMIFS(Journal_entrees_et_sorties!D$8:D$400,Journal_entrees_et_sorties!C$8:C$400,C335))</f>
        <v/>
      </c>
      <c r="F335" s="2" t="str">
        <f>IF(Inventaire!D335="","",Inventaire!D335/Base_de_donnee_articles!G335)</f>
        <v/>
      </c>
      <c r="G335" s="3" t="str">
        <f t="shared" si="5"/>
        <v/>
      </c>
    </row>
    <row r="336" spans="2:7" x14ac:dyDescent="0.35">
      <c r="B336" s="2" t="str">
        <f>IF(Base_de_donnee_articles!B336="","",Base_de_donnee_articles!B336)</f>
        <v/>
      </c>
      <c r="C336" s="2" t="str">
        <f>IF(Base_de_donnee_articles!C336="","",Base_de_donnee_articles!C336)</f>
        <v/>
      </c>
      <c r="D336" s="2" t="str">
        <f>IF(Inventaire!C336="","",Inventaire!C336/Base_de_donnee_articles!G336)</f>
        <v/>
      </c>
      <c r="E336" s="2" t="str">
        <f>IF(B336="","",SUMIFS(Journal_entrees_et_sorties!D$8:D$400,Journal_entrees_et_sorties!C$8:C$400,C336))</f>
        <v/>
      </c>
      <c r="F336" s="2" t="str">
        <f>IF(Inventaire!D336="","",Inventaire!D336/Base_de_donnee_articles!G336)</f>
        <v/>
      </c>
      <c r="G336" s="3" t="str">
        <f t="shared" si="5"/>
        <v/>
      </c>
    </row>
    <row r="337" spans="2:7" x14ac:dyDescent="0.35">
      <c r="B337" s="2" t="str">
        <f>IF(Base_de_donnee_articles!B337="","",Base_de_donnee_articles!B337)</f>
        <v/>
      </c>
      <c r="C337" s="2" t="str">
        <f>IF(Base_de_donnee_articles!C337="","",Base_de_donnee_articles!C337)</f>
        <v/>
      </c>
      <c r="D337" s="2" t="str">
        <f>IF(Inventaire!C337="","",Inventaire!C337/Base_de_donnee_articles!G337)</f>
        <v/>
      </c>
      <c r="E337" s="2" t="str">
        <f>IF(B337="","",SUMIFS(Journal_entrees_et_sorties!D$8:D$400,Journal_entrees_et_sorties!C$8:C$400,C337))</f>
        <v/>
      </c>
      <c r="F337" s="2" t="str">
        <f>IF(Inventaire!D337="","",Inventaire!D337/Base_de_donnee_articles!G337)</f>
        <v/>
      </c>
      <c r="G337" s="3" t="str">
        <f t="shared" si="5"/>
        <v/>
      </c>
    </row>
    <row r="338" spans="2:7" x14ac:dyDescent="0.35">
      <c r="B338" s="2" t="str">
        <f>IF(Base_de_donnee_articles!B338="","",Base_de_donnee_articles!B338)</f>
        <v/>
      </c>
      <c r="C338" s="2" t="str">
        <f>IF(Base_de_donnee_articles!C338="","",Base_de_donnee_articles!C338)</f>
        <v/>
      </c>
      <c r="D338" s="2" t="str">
        <f>IF(Inventaire!C338="","",Inventaire!C338/Base_de_donnee_articles!G338)</f>
        <v/>
      </c>
      <c r="E338" s="2" t="str">
        <f>IF(B338="","",SUMIFS(Journal_entrees_et_sorties!D$8:D$400,Journal_entrees_et_sorties!C$8:C$400,C338))</f>
        <v/>
      </c>
      <c r="F338" s="2" t="str">
        <f>IF(Inventaire!D338="","",Inventaire!D338/Base_de_donnee_articles!G338)</f>
        <v/>
      </c>
      <c r="G338" s="3" t="str">
        <f t="shared" si="5"/>
        <v/>
      </c>
    </row>
    <row r="339" spans="2:7" x14ac:dyDescent="0.35">
      <c r="B339" s="2" t="str">
        <f>IF(Base_de_donnee_articles!B339="","",Base_de_donnee_articles!B339)</f>
        <v/>
      </c>
      <c r="C339" s="2" t="str">
        <f>IF(Base_de_donnee_articles!C339="","",Base_de_donnee_articles!C339)</f>
        <v/>
      </c>
      <c r="D339" s="2" t="str">
        <f>IF(Inventaire!C339="","",Inventaire!C339/Base_de_donnee_articles!G339)</f>
        <v/>
      </c>
      <c r="E339" s="2" t="str">
        <f>IF(B339="","",SUMIFS(Journal_entrees_et_sorties!D$8:D$400,Journal_entrees_et_sorties!C$8:C$400,C339))</f>
        <v/>
      </c>
      <c r="F339" s="2" t="str">
        <f>IF(Inventaire!D339="","",Inventaire!D339/Base_de_donnee_articles!G339)</f>
        <v/>
      </c>
      <c r="G339" s="3" t="str">
        <f t="shared" si="5"/>
        <v/>
      </c>
    </row>
    <row r="340" spans="2:7" x14ac:dyDescent="0.35">
      <c r="B340" s="2" t="str">
        <f>IF(Base_de_donnee_articles!B340="","",Base_de_donnee_articles!B340)</f>
        <v/>
      </c>
      <c r="C340" s="2" t="str">
        <f>IF(Base_de_donnee_articles!C340="","",Base_de_donnee_articles!C340)</f>
        <v/>
      </c>
      <c r="D340" s="2" t="str">
        <f>IF(Inventaire!C340="","",Inventaire!C340/Base_de_donnee_articles!G340)</f>
        <v/>
      </c>
      <c r="E340" s="2" t="str">
        <f>IF(B340="","",SUMIFS(Journal_entrees_et_sorties!D$8:D$400,Journal_entrees_et_sorties!C$8:C$400,C340))</f>
        <v/>
      </c>
      <c r="F340" s="2" t="str">
        <f>IF(Inventaire!D340="","",Inventaire!D340/Base_de_donnee_articles!G340)</f>
        <v/>
      </c>
      <c r="G340" s="3" t="str">
        <f t="shared" si="5"/>
        <v/>
      </c>
    </row>
    <row r="341" spans="2:7" x14ac:dyDescent="0.35">
      <c r="B341" s="2" t="str">
        <f>IF(Base_de_donnee_articles!B341="","",Base_de_donnee_articles!B341)</f>
        <v/>
      </c>
      <c r="C341" s="2" t="str">
        <f>IF(Base_de_donnee_articles!C341="","",Base_de_donnee_articles!C341)</f>
        <v/>
      </c>
      <c r="D341" s="2" t="str">
        <f>IF(Inventaire!C341="","",Inventaire!C341/Base_de_donnee_articles!G341)</f>
        <v/>
      </c>
      <c r="E341" s="2" t="str">
        <f>IF(B341="","",SUMIFS(Journal_entrees_et_sorties!D$8:D$400,Journal_entrees_et_sorties!C$8:C$400,C341))</f>
        <v/>
      </c>
      <c r="F341" s="2" t="str">
        <f>IF(Inventaire!D341="","",Inventaire!D341/Base_de_donnee_articles!G341)</f>
        <v/>
      </c>
      <c r="G341" s="3" t="str">
        <f t="shared" si="5"/>
        <v/>
      </c>
    </row>
    <row r="342" spans="2:7" x14ac:dyDescent="0.35">
      <c r="B342" s="2" t="str">
        <f>IF(Base_de_donnee_articles!B342="","",Base_de_donnee_articles!B342)</f>
        <v/>
      </c>
      <c r="C342" s="2" t="str">
        <f>IF(Base_de_donnee_articles!C342="","",Base_de_donnee_articles!C342)</f>
        <v/>
      </c>
      <c r="D342" s="2" t="str">
        <f>IF(Inventaire!C342="","",Inventaire!C342/Base_de_donnee_articles!G342)</f>
        <v/>
      </c>
      <c r="E342" s="2" t="str">
        <f>IF(B342="","",SUMIFS(Journal_entrees_et_sorties!D$8:D$400,Journal_entrees_et_sorties!C$8:C$400,C342))</f>
        <v/>
      </c>
      <c r="F342" s="2" t="str">
        <f>IF(Inventaire!D342="","",Inventaire!D342/Base_de_donnee_articles!G342)</f>
        <v/>
      </c>
      <c r="G342" s="3" t="str">
        <f t="shared" si="5"/>
        <v/>
      </c>
    </row>
    <row r="343" spans="2:7" x14ac:dyDescent="0.35">
      <c r="B343" s="2" t="str">
        <f>IF(Base_de_donnee_articles!B343="","",Base_de_donnee_articles!B343)</f>
        <v/>
      </c>
      <c r="C343" s="2" t="str">
        <f>IF(Base_de_donnee_articles!C343="","",Base_de_donnee_articles!C343)</f>
        <v/>
      </c>
      <c r="D343" s="2" t="str">
        <f>IF(Inventaire!C343="","",Inventaire!C343/Base_de_donnee_articles!G343)</f>
        <v/>
      </c>
      <c r="E343" s="2" t="str">
        <f>IF(B343="","",SUMIFS(Journal_entrees_et_sorties!D$8:D$400,Journal_entrees_et_sorties!C$8:C$400,C343))</f>
        <v/>
      </c>
      <c r="F343" s="2" t="str">
        <f>IF(Inventaire!D343="","",Inventaire!D343/Base_de_donnee_articles!G343)</f>
        <v/>
      </c>
      <c r="G343" s="3" t="str">
        <f t="shared" si="5"/>
        <v/>
      </c>
    </row>
    <row r="344" spans="2:7" x14ac:dyDescent="0.35">
      <c r="B344" s="2" t="str">
        <f>IF(Base_de_donnee_articles!B344="","",Base_de_donnee_articles!B344)</f>
        <v/>
      </c>
      <c r="C344" s="2" t="str">
        <f>IF(Base_de_donnee_articles!C344="","",Base_de_donnee_articles!C344)</f>
        <v/>
      </c>
      <c r="D344" s="2" t="str">
        <f>IF(Inventaire!C344="","",Inventaire!C344/Base_de_donnee_articles!G344)</f>
        <v/>
      </c>
      <c r="E344" s="2" t="str">
        <f>IF(B344="","",SUMIFS(Journal_entrees_et_sorties!D$8:D$400,Journal_entrees_et_sorties!C$8:C$400,C344))</f>
        <v/>
      </c>
      <c r="F344" s="2" t="str">
        <f>IF(Inventaire!D344="","",Inventaire!D344/Base_de_donnee_articles!G344)</f>
        <v/>
      </c>
      <c r="G344" s="3" t="str">
        <f t="shared" si="5"/>
        <v/>
      </c>
    </row>
    <row r="345" spans="2:7" x14ac:dyDescent="0.35">
      <c r="B345" s="2" t="str">
        <f>IF(Base_de_donnee_articles!B345="","",Base_de_donnee_articles!B345)</f>
        <v/>
      </c>
      <c r="C345" s="2" t="str">
        <f>IF(Base_de_donnee_articles!C345="","",Base_de_donnee_articles!C345)</f>
        <v/>
      </c>
      <c r="D345" s="2" t="str">
        <f>IF(Inventaire!C345="","",Inventaire!C345/Base_de_donnee_articles!G345)</f>
        <v/>
      </c>
      <c r="E345" s="2" t="str">
        <f>IF(B345="","",SUMIFS(Journal_entrees_et_sorties!D$8:D$400,Journal_entrees_et_sorties!C$8:C$400,C345))</f>
        <v/>
      </c>
      <c r="F345" s="2" t="str">
        <f>IF(Inventaire!D345="","",Inventaire!D345/Base_de_donnee_articles!G345)</f>
        <v/>
      </c>
      <c r="G345" s="3" t="str">
        <f t="shared" si="5"/>
        <v/>
      </c>
    </row>
    <row r="346" spans="2:7" x14ac:dyDescent="0.35">
      <c r="B346" s="2" t="str">
        <f>IF(Base_de_donnee_articles!B346="","",Base_de_donnee_articles!B346)</f>
        <v/>
      </c>
      <c r="C346" s="2" t="str">
        <f>IF(Base_de_donnee_articles!C346="","",Base_de_donnee_articles!C346)</f>
        <v/>
      </c>
      <c r="D346" s="2" t="str">
        <f>IF(Inventaire!C346="","",Inventaire!C346/Base_de_donnee_articles!G346)</f>
        <v/>
      </c>
      <c r="E346" s="2" t="str">
        <f>IF(B346="","",SUMIFS(Journal_entrees_et_sorties!D$8:D$400,Journal_entrees_et_sorties!C$8:C$400,C346))</f>
        <v/>
      </c>
      <c r="F346" s="2" t="str">
        <f>IF(Inventaire!D346="","",Inventaire!D346/Base_de_donnee_articles!G346)</f>
        <v/>
      </c>
      <c r="G346" s="3" t="str">
        <f t="shared" si="5"/>
        <v/>
      </c>
    </row>
    <row r="347" spans="2:7" x14ac:dyDescent="0.35">
      <c r="B347" s="2" t="str">
        <f>IF(Base_de_donnee_articles!B347="","",Base_de_donnee_articles!B347)</f>
        <v/>
      </c>
      <c r="C347" s="2" t="str">
        <f>IF(Base_de_donnee_articles!C347="","",Base_de_donnee_articles!C347)</f>
        <v/>
      </c>
      <c r="D347" s="2" t="str">
        <f>IF(Inventaire!C347="","",Inventaire!C347/Base_de_donnee_articles!G347)</f>
        <v/>
      </c>
      <c r="E347" s="2" t="str">
        <f>IF(B347="","",SUMIFS(Journal_entrees_et_sorties!D$8:D$400,Journal_entrees_et_sorties!C$8:C$400,C347))</f>
        <v/>
      </c>
      <c r="F347" s="2" t="str">
        <f>IF(Inventaire!D347="","",Inventaire!D347/Base_de_donnee_articles!G347)</f>
        <v/>
      </c>
      <c r="G347" s="3" t="str">
        <f t="shared" si="5"/>
        <v/>
      </c>
    </row>
    <row r="348" spans="2:7" x14ac:dyDescent="0.35">
      <c r="B348" s="2" t="str">
        <f>IF(Base_de_donnee_articles!B348="","",Base_de_donnee_articles!B348)</f>
        <v/>
      </c>
      <c r="C348" s="2" t="str">
        <f>IF(Base_de_donnee_articles!C348="","",Base_de_donnee_articles!C348)</f>
        <v/>
      </c>
      <c r="D348" s="2" t="str">
        <f>IF(Inventaire!C348="","",Inventaire!C348/Base_de_donnee_articles!G348)</f>
        <v/>
      </c>
      <c r="E348" s="2" t="str">
        <f>IF(B348="","",SUMIFS(Journal_entrees_et_sorties!D$8:D$400,Journal_entrees_et_sorties!C$8:C$400,C348))</f>
        <v/>
      </c>
      <c r="F348" s="2" t="str">
        <f>IF(Inventaire!D348="","",Inventaire!D348/Base_de_donnee_articles!G348)</f>
        <v/>
      </c>
      <c r="G348" s="3" t="str">
        <f t="shared" si="5"/>
        <v/>
      </c>
    </row>
    <row r="349" spans="2:7" x14ac:dyDescent="0.35">
      <c r="B349" s="2" t="str">
        <f>IF(Base_de_donnee_articles!B349="","",Base_de_donnee_articles!B349)</f>
        <v/>
      </c>
      <c r="C349" s="2" t="str">
        <f>IF(Base_de_donnee_articles!C349="","",Base_de_donnee_articles!C349)</f>
        <v/>
      </c>
      <c r="D349" s="2" t="str">
        <f>IF(Inventaire!C349="","",Inventaire!C349/Base_de_donnee_articles!G349)</f>
        <v/>
      </c>
      <c r="E349" s="2" t="str">
        <f>IF(B349="","",SUMIFS(Journal_entrees_et_sorties!D$8:D$400,Journal_entrees_et_sorties!C$8:C$400,C349))</f>
        <v/>
      </c>
      <c r="F349" s="2" t="str">
        <f>IF(Inventaire!D349="","",Inventaire!D349/Base_de_donnee_articles!G349)</f>
        <v/>
      </c>
      <c r="G349" s="3" t="str">
        <f t="shared" si="5"/>
        <v/>
      </c>
    </row>
    <row r="350" spans="2:7" x14ac:dyDescent="0.35">
      <c r="B350" s="2" t="str">
        <f>IF(Base_de_donnee_articles!B350="","",Base_de_donnee_articles!B350)</f>
        <v/>
      </c>
      <c r="C350" s="2" t="str">
        <f>IF(Base_de_donnee_articles!C350="","",Base_de_donnee_articles!C350)</f>
        <v/>
      </c>
      <c r="D350" s="2" t="str">
        <f>IF(Inventaire!C350="","",Inventaire!C350/Base_de_donnee_articles!G350)</f>
        <v/>
      </c>
      <c r="E350" s="2" t="str">
        <f>IF(B350="","",SUMIFS(Journal_entrees_et_sorties!D$8:D$400,Journal_entrees_et_sorties!C$8:C$400,C350))</f>
        <v/>
      </c>
      <c r="F350" s="2" t="str">
        <f>IF(Inventaire!D350="","",Inventaire!D350/Base_de_donnee_articles!G350)</f>
        <v/>
      </c>
      <c r="G350" s="3" t="str">
        <f t="shared" si="5"/>
        <v/>
      </c>
    </row>
    <row r="351" spans="2:7" x14ac:dyDescent="0.35">
      <c r="B351" s="2" t="str">
        <f>IF(Base_de_donnee_articles!B351="","",Base_de_donnee_articles!B351)</f>
        <v/>
      </c>
      <c r="C351" s="2" t="str">
        <f>IF(Base_de_donnee_articles!C351="","",Base_de_donnee_articles!C351)</f>
        <v/>
      </c>
      <c r="D351" s="2" t="str">
        <f>IF(Inventaire!C351="","",Inventaire!C351/Base_de_donnee_articles!G351)</f>
        <v/>
      </c>
      <c r="E351" s="2" t="str">
        <f>IF(B351="","",SUMIFS(Journal_entrees_et_sorties!D$8:D$400,Journal_entrees_et_sorties!C$8:C$400,C351))</f>
        <v/>
      </c>
      <c r="F351" s="2" t="str">
        <f>IF(Inventaire!D351="","",Inventaire!D351/Base_de_donnee_articles!G351)</f>
        <v/>
      </c>
      <c r="G351" s="3" t="str">
        <f t="shared" si="5"/>
        <v/>
      </c>
    </row>
    <row r="352" spans="2:7" x14ac:dyDescent="0.35">
      <c r="B352" s="2" t="str">
        <f>IF(Base_de_donnee_articles!B352="","",Base_de_donnee_articles!B352)</f>
        <v/>
      </c>
      <c r="C352" s="2" t="str">
        <f>IF(Base_de_donnee_articles!C352="","",Base_de_donnee_articles!C352)</f>
        <v/>
      </c>
      <c r="D352" s="2" t="str">
        <f>IF(Inventaire!C352="","",Inventaire!C352/Base_de_donnee_articles!G352)</f>
        <v/>
      </c>
      <c r="E352" s="2" t="str">
        <f>IF(B352="","",SUMIFS(Journal_entrees_et_sorties!D$8:D$400,Journal_entrees_et_sorties!C$8:C$400,C352))</f>
        <v/>
      </c>
      <c r="F352" s="2" t="str">
        <f>IF(Inventaire!D352="","",Inventaire!D352/Base_de_donnee_articles!G352)</f>
        <v/>
      </c>
      <c r="G352" s="3" t="str">
        <f t="shared" si="5"/>
        <v/>
      </c>
    </row>
    <row r="353" spans="2:7" x14ac:dyDescent="0.35">
      <c r="B353" s="2" t="str">
        <f>IF(Base_de_donnee_articles!B353="","",Base_de_donnee_articles!B353)</f>
        <v/>
      </c>
      <c r="C353" s="2" t="str">
        <f>IF(Base_de_donnee_articles!C353="","",Base_de_donnee_articles!C353)</f>
        <v/>
      </c>
      <c r="D353" s="2" t="str">
        <f>IF(Inventaire!C353="","",Inventaire!C353/Base_de_donnee_articles!G353)</f>
        <v/>
      </c>
      <c r="E353" s="2" t="str">
        <f>IF(B353="","",SUMIFS(Journal_entrees_et_sorties!D$8:D$400,Journal_entrees_et_sorties!C$8:C$400,C353))</f>
        <v/>
      </c>
      <c r="F353" s="2" t="str">
        <f>IF(Inventaire!D353="","",Inventaire!D353/Base_de_donnee_articles!G353)</f>
        <v/>
      </c>
      <c r="G353" s="3" t="str">
        <f t="shared" si="5"/>
        <v/>
      </c>
    </row>
    <row r="354" spans="2:7" x14ac:dyDescent="0.35">
      <c r="B354" s="2" t="str">
        <f>IF(Base_de_donnee_articles!B354="","",Base_de_donnee_articles!B354)</f>
        <v/>
      </c>
      <c r="C354" s="2" t="str">
        <f>IF(Base_de_donnee_articles!C354="","",Base_de_donnee_articles!C354)</f>
        <v/>
      </c>
      <c r="D354" s="2" t="str">
        <f>IF(Inventaire!C354="","",Inventaire!C354/Base_de_donnee_articles!G354)</f>
        <v/>
      </c>
      <c r="E354" s="2" t="str">
        <f>IF(B354="","",SUMIFS(Journal_entrees_et_sorties!D$8:D$400,Journal_entrees_et_sorties!C$8:C$400,C354))</f>
        <v/>
      </c>
      <c r="F354" s="2" t="str">
        <f>IF(Inventaire!D354="","",Inventaire!D354/Base_de_donnee_articles!G354)</f>
        <v/>
      </c>
      <c r="G354" s="3" t="str">
        <f t="shared" si="5"/>
        <v/>
      </c>
    </row>
    <row r="355" spans="2:7" x14ac:dyDescent="0.35">
      <c r="B355" s="2" t="str">
        <f>IF(Base_de_donnee_articles!B355="","",Base_de_donnee_articles!B355)</f>
        <v/>
      </c>
      <c r="C355" s="2" t="str">
        <f>IF(Base_de_donnee_articles!C355="","",Base_de_donnee_articles!C355)</f>
        <v/>
      </c>
      <c r="D355" s="2" t="str">
        <f>IF(Inventaire!C355="","",Inventaire!C355/Base_de_donnee_articles!G355)</f>
        <v/>
      </c>
      <c r="E355" s="2" t="str">
        <f>IF(B355="","",SUMIFS(Journal_entrees_et_sorties!D$8:D$400,Journal_entrees_et_sorties!C$8:C$400,C355))</f>
        <v/>
      </c>
      <c r="F355" s="2" t="str">
        <f>IF(Inventaire!D355="","",Inventaire!D355/Base_de_donnee_articles!G355)</f>
        <v/>
      </c>
      <c r="G355" s="3" t="str">
        <f t="shared" si="5"/>
        <v/>
      </c>
    </row>
    <row r="356" spans="2:7" x14ac:dyDescent="0.35">
      <c r="B356" s="2" t="str">
        <f>IF(Base_de_donnee_articles!B356="","",Base_de_donnee_articles!B356)</f>
        <v/>
      </c>
      <c r="C356" s="2" t="str">
        <f>IF(Base_de_donnee_articles!C356="","",Base_de_donnee_articles!C356)</f>
        <v/>
      </c>
      <c r="D356" s="2" t="str">
        <f>IF(Inventaire!C356="","",Inventaire!C356/Base_de_donnee_articles!G356)</f>
        <v/>
      </c>
      <c r="E356" s="2" t="str">
        <f>IF(B356="","",SUMIFS(Journal_entrees_et_sorties!D$8:D$400,Journal_entrees_et_sorties!C$8:C$400,C356))</f>
        <v/>
      </c>
      <c r="F356" s="2" t="str">
        <f>IF(Inventaire!D356="","",Inventaire!D356/Base_de_donnee_articles!G356)</f>
        <v/>
      </c>
      <c r="G356" s="3" t="str">
        <f t="shared" si="5"/>
        <v/>
      </c>
    </row>
    <row r="357" spans="2:7" x14ac:dyDescent="0.35">
      <c r="B357" s="2" t="str">
        <f>IF(Base_de_donnee_articles!B357="","",Base_de_donnee_articles!B357)</f>
        <v/>
      </c>
      <c r="C357" s="2" t="str">
        <f>IF(Base_de_donnee_articles!C357="","",Base_de_donnee_articles!C357)</f>
        <v/>
      </c>
      <c r="D357" s="2" t="str">
        <f>IF(Inventaire!C357="","",Inventaire!C357/Base_de_donnee_articles!G357)</f>
        <v/>
      </c>
      <c r="E357" s="2" t="str">
        <f>IF(B357="","",SUMIFS(Journal_entrees_et_sorties!D$8:D$400,Journal_entrees_et_sorties!C$8:C$400,C357))</f>
        <v/>
      </c>
      <c r="F357" s="2" t="str">
        <f>IF(Inventaire!D357="","",Inventaire!D357/Base_de_donnee_articles!G357)</f>
        <v/>
      </c>
      <c r="G357" s="3" t="str">
        <f t="shared" si="5"/>
        <v/>
      </c>
    </row>
    <row r="358" spans="2:7" x14ac:dyDescent="0.35">
      <c r="B358" s="2" t="str">
        <f>IF(Base_de_donnee_articles!B358="","",Base_de_donnee_articles!B358)</f>
        <v/>
      </c>
      <c r="C358" s="2" t="str">
        <f>IF(Base_de_donnee_articles!C358="","",Base_de_donnee_articles!C358)</f>
        <v/>
      </c>
      <c r="D358" s="2" t="str">
        <f>IF(Inventaire!C358="","",Inventaire!C358/Base_de_donnee_articles!G358)</f>
        <v/>
      </c>
      <c r="E358" s="2" t="str">
        <f>IF(B358="","",SUMIFS(Journal_entrees_et_sorties!D$8:D$400,Journal_entrees_et_sorties!C$8:C$400,C358))</f>
        <v/>
      </c>
      <c r="F358" s="2" t="str">
        <f>IF(Inventaire!D358="","",Inventaire!D358/Base_de_donnee_articles!G358)</f>
        <v/>
      </c>
      <c r="G358" s="3" t="str">
        <f t="shared" si="5"/>
        <v/>
      </c>
    </row>
    <row r="359" spans="2:7" x14ac:dyDescent="0.35">
      <c r="B359" s="2" t="str">
        <f>IF(Base_de_donnee_articles!B359="","",Base_de_donnee_articles!B359)</f>
        <v/>
      </c>
      <c r="C359" s="2" t="str">
        <f>IF(Base_de_donnee_articles!C359="","",Base_de_donnee_articles!C359)</f>
        <v/>
      </c>
      <c r="D359" s="2" t="str">
        <f>IF(Inventaire!C359="","",Inventaire!C359/Base_de_donnee_articles!G359)</f>
        <v/>
      </c>
      <c r="E359" s="2" t="str">
        <f>IF(B359="","",SUMIFS(Journal_entrees_et_sorties!D$8:D$400,Journal_entrees_et_sorties!C$8:C$400,C359))</f>
        <v/>
      </c>
      <c r="F359" s="2" t="str">
        <f>IF(Inventaire!D359="","",Inventaire!D359)</f>
        <v/>
      </c>
      <c r="G359" s="3" t="str">
        <f t="shared" si="5"/>
        <v/>
      </c>
    </row>
    <row r="360" spans="2:7" x14ac:dyDescent="0.35">
      <c r="B360" s="2" t="str">
        <f>IF(Base_de_donnee_articles!B360="","",Base_de_donnee_articles!B360)</f>
        <v/>
      </c>
      <c r="C360" s="2" t="str">
        <f>IF(Base_de_donnee_articles!C360="","",Base_de_donnee_articles!C360)</f>
        <v/>
      </c>
      <c r="D360" s="2" t="str">
        <f>IF(Inventaire!C360="","",Inventaire!C360/Base_de_donnee_articles!G360)</f>
        <v/>
      </c>
      <c r="E360" s="2" t="str">
        <f>IF(B360="","",SUMIFS(Journal_entrees_et_sorties!D$8:D$400,Journal_entrees_et_sorties!C$8:C$400,C360))</f>
        <v/>
      </c>
      <c r="F360" s="2" t="str">
        <f>IF(Inventaire!D360="","",Inventaire!D360)</f>
        <v/>
      </c>
      <c r="G360" s="3" t="str">
        <f t="shared" si="5"/>
        <v/>
      </c>
    </row>
    <row r="361" spans="2:7" x14ac:dyDescent="0.35">
      <c r="B361" s="2" t="str">
        <f>IF(Base_de_donnee_articles!B361="","",Base_de_donnee_articles!B361)</f>
        <v/>
      </c>
      <c r="C361" s="2" t="str">
        <f>IF(Base_de_donnee_articles!C361="","",Base_de_donnee_articles!C361)</f>
        <v/>
      </c>
      <c r="D361" s="2" t="str">
        <f>IF(Inventaire!C361="","",Inventaire!C361/Base_de_donnee_articles!G361)</f>
        <v/>
      </c>
      <c r="E361" s="2" t="str">
        <f>IF(B361="","",SUMIFS(Journal_entrees_et_sorties!D$8:D$400,Journal_entrees_et_sorties!C$8:C$400,C361))</f>
        <v/>
      </c>
      <c r="F361" s="2" t="str">
        <f>IF(Inventaire!D361="","",Inventaire!D361)</f>
        <v/>
      </c>
      <c r="G361" s="3" t="str">
        <f t="shared" si="5"/>
        <v/>
      </c>
    </row>
    <row r="362" spans="2:7" x14ac:dyDescent="0.35">
      <c r="B362" s="2" t="str">
        <f>IF(Base_de_donnee_articles!B362="","",Base_de_donnee_articles!B362)</f>
        <v/>
      </c>
      <c r="C362" s="2" t="str">
        <f>IF(Base_de_donnee_articles!C362="","",Base_de_donnee_articles!C362)</f>
        <v/>
      </c>
      <c r="D362" s="2" t="str">
        <f>IF(Inventaire!C362="","",Inventaire!C362/Base_de_donnee_articles!G362)</f>
        <v/>
      </c>
      <c r="E362" s="2" t="str">
        <f>IF(B362="","",SUMIFS(Journal_entrees_et_sorties!D$8:D$400,Journal_entrees_et_sorties!C$8:C$400,C362))</f>
        <v/>
      </c>
      <c r="F362" s="2" t="str">
        <f>IF(Inventaire!D362="","",Inventaire!D362)</f>
        <v/>
      </c>
      <c r="G362" s="3" t="str">
        <f t="shared" si="5"/>
        <v/>
      </c>
    </row>
    <row r="363" spans="2:7" x14ac:dyDescent="0.35">
      <c r="B363" s="2" t="str">
        <f>IF(Base_de_donnee_articles!B363="","",Base_de_donnee_articles!B363)</f>
        <v/>
      </c>
      <c r="C363" s="2" t="str">
        <f>IF(Base_de_donnee_articles!C363="","",Base_de_donnee_articles!C363)</f>
        <v/>
      </c>
      <c r="D363" s="2" t="str">
        <f>IF(Inventaire!C363="","",Inventaire!C363/Base_de_donnee_articles!G363)</f>
        <v/>
      </c>
      <c r="E363" s="2" t="str">
        <f>IF(B363="","",SUMIFS(Journal_entrees_et_sorties!D$8:D$400,Journal_entrees_et_sorties!C$8:C$400,C363))</f>
        <v/>
      </c>
      <c r="F363" s="2" t="str">
        <f>IF(Inventaire!D363="","",Inventaire!D363)</f>
        <v/>
      </c>
      <c r="G363" s="3" t="str">
        <f t="shared" si="5"/>
        <v/>
      </c>
    </row>
    <row r="364" spans="2:7" x14ac:dyDescent="0.35">
      <c r="B364" s="2" t="str">
        <f>IF(Base_de_donnee_articles!B364="","",Base_de_donnee_articles!B364)</f>
        <v/>
      </c>
      <c r="C364" s="2" t="str">
        <f>IF(Base_de_donnee_articles!C364="","",Base_de_donnee_articles!C364)</f>
        <v/>
      </c>
      <c r="D364" s="2" t="str">
        <f>IF(Inventaire!C364="","",Inventaire!C364/Base_de_donnee_articles!G364)</f>
        <v/>
      </c>
      <c r="E364" s="2" t="str">
        <f>IF(B364="","",SUMIFS(Journal_entrees_et_sorties!D$8:D$400,Journal_entrees_et_sorties!C$8:C$400,C364))</f>
        <v/>
      </c>
      <c r="F364" s="2" t="str">
        <f>IF(Inventaire!D364="","",Inventaire!D364)</f>
        <v/>
      </c>
      <c r="G364" s="3" t="str">
        <f t="shared" si="5"/>
        <v/>
      </c>
    </row>
    <row r="365" spans="2:7" x14ac:dyDescent="0.35">
      <c r="B365" s="2" t="str">
        <f>IF(Base_de_donnee_articles!B365="","",Base_de_donnee_articles!B365)</f>
        <v/>
      </c>
      <c r="C365" s="2" t="str">
        <f>IF(Base_de_donnee_articles!C365="","",Base_de_donnee_articles!C365)</f>
        <v/>
      </c>
      <c r="D365" s="2" t="str">
        <f>IF(Inventaire!C365="","",Inventaire!C365/Base_de_donnee_articles!G365)</f>
        <v/>
      </c>
      <c r="E365" s="2" t="str">
        <f>IF(B365="","",SUMIFS(Journal_entrees_et_sorties!D$8:D$400,Journal_entrees_et_sorties!C$8:C$400,C365))</f>
        <v/>
      </c>
      <c r="F365" s="2" t="str">
        <f>IF(Inventaire!D365="","",Inventaire!D365)</f>
        <v/>
      </c>
      <c r="G365" s="3" t="str">
        <f t="shared" si="5"/>
        <v/>
      </c>
    </row>
    <row r="366" spans="2:7" x14ac:dyDescent="0.35">
      <c r="B366" s="2" t="str">
        <f>IF(Base_de_donnee_articles!B366="","",Base_de_donnee_articles!B366)</f>
        <v/>
      </c>
      <c r="C366" s="2" t="str">
        <f>IF(Base_de_donnee_articles!C366="","",Base_de_donnee_articles!C366)</f>
        <v/>
      </c>
      <c r="D366" s="2" t="str">
        <f>IF(Inventaire!C366="","",Inventaire!C366/Base_de_donnee_articles!G366)</f>
        <v/>
      </c>
      <c r="E366" s="2" t="str">
        <f>IF(B366="","",SUMIFS(Journal_entrees_et_sorties!D$8:D$400,Journal_entrees_et_sorties!C$8:C$400,C366))</f>
        <v/>
      </c>
      <c r="F366" s="2" t="str">
        <f>IF(Inventaire!D366="","",Inventaire!D366)</f>
        <v/>
      </c>
      <c r="G366" s="3" t="str">
        <f t="shared" si="5"/>
        <v/>
      </c>
    </row>
    <row r="367" spans="2:7" x14ac:dyDescent="0.35">
      <c r="B367" s="2" t="str">
        <f>IF(Base_de_donnee_articles!B367="","",Base_de_donnee_articles!B367)</f>
        <v/>
      </c>
      <c r="C367" s="2" t="str">
        <f>IF(Base_de_donnee_articles!C367="","",Base_de_donnee_articles!C367)</f>
        <v/>
      </c>
      <c r="D367" s="2" t="str">
        <f>IF(Inventaire!C367="","",Inventaire!C367/Base_de_donnee_articles!G367)</f>
        <v/>
      </c>
      <c r="E367" s="2" t="str">
        <f>IF(B367="","",SUMIFS(Journal_entrees_et_sorties!D$8:D$400,Journal_entrees_et_sorties!C$8:C$400,C367))</f>
        <v/>
      </c>
      <c r="F367" s="2" t="str">
        <f>IF(Inventaire!D367="","",Inventaire!D367)</f>
        <v/>
      </c>
      <c r="G367" s="3" t="str">
        <f t="shared" si="5"/>
        <v/>
      </c>
    </row>
    <row r="368" spans="2:7" x14ac:dyDescent="0.35">
      <c r="B368" s="2" t="str">
        <f>IF(Base_de_donnee_articles!B368="","",Base_de_donnee_articles!B368)</f>
        <v/>
      </c>
      <c r="C368" s="2" t="str">
        <f>IF(Base_de_donnee_articles!C368="","",Base_de_donnee_articles!C368)</f>
        <v/>
      </c>
      <c r="D368" s="2" t="str">
        <f>IF(Inventaire!C368="","",Inventaire!C368/Base_de_donnee_articles!G368)</f>
        <v/>
      </c>
      <c r="E368" s="2" t="str">
        <f>IF(B368="","",SUMIFS(Journal_entrees_et_sorties!D$8:D$400,Journal_entrees_et_sorties!C$8:C$400,C368))</f>
        <v/>
      </c>
      <c r="F368" s="2" t="str">
        <f>IF(Inventaire!D368="","",Inventaire!D368)</f>
        <v/>
      </c>
      <c r="G368" s="3" t="str">
        <f t="shared" si="5"/>
        <v/>
      </c>
    </row>
    <row r="369" spans="2:7" x14ac:dyDescent="0.35">
      <c r="B369" s="2" t="str">
        <f>IF(Base_de_donnee_articles!B369="","",Base_de_donnee_articles!B369)</f>
        <v/>
      </c>
      <c r="C369" s="2" t="str">
        <f>IF(Base_de_donnee_articles!C369="","",Base_de_donnee_articles!C369)</f>
        <v/>
      </c>
      <c r="D369" s="2" t="str">
        <f>IF(Inventaire!C369="","",Inventaire!C369/Base_de_donnee_articles!G369)</f>
        <v/>
      </c>
      <c r="E369" s="2" t="str">
        <f>IF(B369="","",SUMIFS(Journal_entrees_et_sorties!D$8:D$400,Journal_entrees_et_sorties!C$8:C$400,C369))</f>
        <v/>
      </c>
      <c r="F369" s="2" t="str">
        <f>IF(Inventaire!D369="","",Inventaire!D369)</f>
        <v/>
      </c>
      <c r="G369" s="3" t="str">
        <f t="shared" si="5"/>
        <v/>
      </c>
    </row>
    <row r="370" spans="2:7" x14ac:dyDescent="0.35">
      <c r="B370" s="2" t="str">
        <f>IF(Base_de_donnee_articles!B370="","",Base_de_donnee_articles!B370)</f>
        <v/>
      </c>
      <c r="C370" s="2" t="str">
        <f>IF(Base_de_donnee_articles!C370="","",Base_de_donnee_articles!C370)</f>
        <v/>
      </c>
      <c r="D370" s="2" t="str">
        <f>IF(Inventaire!C370="","",Inventaire!C370/Base_de_donnee_articles!G370)</f>
        <v/>
      </c>
      <c r="E370" s="2" t="str">
        <f>IF(B370="","",SUMIFS(Journal_entrees_et_sorties!D$8:D$400,Journal_entrees_et_sorties!C$8:C$400,C370))</f>
        <v/>
      </c>
      <c r="F370" s="2" t="str">
        <f>IF(Inventaire!D370="","",Inventaire!D370)</f>
        <v/>
      </c>
      <c r="G370" s="3" t="str">
        <f t="shared" si="5"/>
        <v/>
      </c>
    </row>
    <row r="371" spans="2:7" x14ac:dyDescent="0.35">
      <c r="B371" s="2" t="str">
        <f>IF(Base_de_donnee_articles!B371="","",Base_de_donnee_articles!B371)</f>
        <v/>
      </c>
      <c r="C371" s="2" t="str">
        <f>IF(Base_de_donnee_articles!C371="","",Base_de_donnee_articles!C371)</f>
        <v/>
      </c>
      <c r="D371" s="2" t="str">
        <f>IF(Inventaire!C371="","",Inventaire!C371/Base_de_donnee_articles!G371)</f>
        <v/>
      </c>
      <c r="E371" s="2" t="str">
        <f>IF(B371="","",SUMIFS(Journal_entrees_et_sorties!D$8:D$400,Journal_entrees_et_sorties!C$8:C$400,C371))</f>
        <v/>
      </c>
      <c r="F371" s="2" t="str">
        <f>IF(Inventaire!D371="","",Inventaire!D371)</f>
        <v/>
      </c>
      <c r="G371" s="3" t="str">
        <f t="shared" si="5"/>
        <v/>
      </c>
    </row>
    <row r="372" spans="2:7" x14ac:dyDescent="0.35">
      <c r="B372" s="2" t="str">
        <f>IF(Base_de_donnee_articles!B372="","",Base_de_donnee_articles!B372)</f>
        <v/>
      </c>
      <c r="C372" s="2" t="str">
        <f>IF(Base_de_donnee_articles!C372="","",Base_de_donnee_articles!C372)</f>
        <v/>
      </c>
      <c r="D372" s="2" t="str">
        <f>IF(Inventaire!C372="","",Inventaire!C372/Base_de_donnee_articles!G372)</f>
        <v/>
      </c>
      <c r="E372" s="2" t="str">
        <f>IF(B372="","",SUMIFS(Journal_entrees_et_sorties!D$8:D$400,Journal_entrees_et_sorties!C$8:C$400,C372))</f>
        <v/>
      </c>
      <c r="F372" s="2" t="str">
        <f>IF(Inventaire!D372="","",Inventaire!D372)</f>
        <v/>
      </c>
      <c r="G372" s="3" t="str">
        <f t="shared" si="5"/>
        <v/>
      </c>
    </row>
    <row r="373" spans="2:7" x14ac:dyDescent="0.35">
      <c r="B373" s="2" t="str">
        <f>IF(Base_de_donnee_articles!B373="","",Base_de_donnee_articles!B373)</f>
        <v/>
      </c>
      <c r="C373" s="2" t="str">
        <f>IF(Base_de_donnee_articles!C373="","",Base_de_donnee_articles!C373)</f>
        <v/>
      </c>
      <c r="D373" s="2" t="str">
        <f>IF(Inventaire!C373="","",Inventaire!C373/Base_de_donnee_articles!G373)</f>
        <v/>
      </c>
      <c r="E373" s="2" t="str">
        <f>IF(B373="","",SUMIFS(Journal_entrees_et_sorties!D$8:D$400,Journal_entrees_et_sorties!C$8:C$400,C373))</f>
        <v/>
      </c>
      <c r="F373" s="2" t="str">
        <f>IF(Inventaire!D373="","",Inventaire!D373)</f>
        <v/>
      </c>
      <c r="G373" s="3" t="str">
        <f t="shared" si="5"/>
        <v/>
      </c>
    </row>
    <row r="374" spans="2:7" x14ac:dyDescent="0.35">
      <c r="B374" s="2" t="str">
        <f>IF(Base_de_donnee_articles!B374="","",Base_de_donnee_articles!B374)</f>
        <v/>
      </c>
      <c r="C374" s="2" t="str">
        <f>IF(Base_de_donnee_articles!C374="","",Base_de_donnee_articles!C374)</f>
        <v/>
      </c>
      <c r="D374" s="2" t="str">
        <f>IF(Inventaire!C374="","",Inventaire!C374/Base_de_donnee_articles!G374)</f>
        <v/>
      </c>
      <c r="E374" s="2" t="str">
        <f>IF(B374="","",SUMIFS(Journal_entrees_et_sorties!D$8:D$400,Journal_entrees_et_sorties!C$8:C$400,C374))</f>
        <v/>
      </c>
      <c r="F374" s="2" t="str">
        <f>IF(Inventaire!D374="","",Inventaire!D374)</f>
        <v/>
      </c>
      <c r="G374" s="3" t="str">
        <f t="shared" si="5"/>
        <v/>
      </c>
    </row>
    <row r="375" spans="2:7" x14ac:dyDescent="0.35">
      <c r="B375" s="2" t="str">
        <f>IF(Base_de_donnee_articles!B375="","",Base_de_donnee_articles!B375)</f>
        <v/>
      </c>
      <c r="C375" s="2" t="str">
        <f>IF(Base_de_donnee_articles!C375="","",Base_de_donnee_articles!C375)</f>
        <v/>
      </c>
      <c r="D375" s="2" t="str">
        <f>IF(Inventaire!C375="","",Inventaire!C375/Base_de_donnee_articles!G375)</f>
        <v/>
      </c>
      <c r="E375" s="2" t="str">
        <f>IF(B375="","",SUMIFS(Journal_entrees_et_sorties!D$8:D$400,Journal_entrees_et_sorties!C$8:C$400,C375))</f>
        <v/>
      </c>
      <c r="F375" s="2" t="str">
        <f>IF(Inventaire!D375="","",Inventaire!D375)</f>
        <v/>
      </c>
      <c r="G375" s="3" t="str">
        <f t="shared" si="5"/>
        <v/>
      </c>
    </row>
    <row r="376" spans="2:7" x14ac:dyDescent="0.35">
      <c r="B376" s="2" t="str">
        <f>IF(Base_de_donnee_articles!B376="","",Base_de_donnee_articles!B376)</f>
        <v/>
      </c>
      <c r="C376" s="2" t="str">
        <f>IF(Base_de_donnee_articles!C376="","",Base_de_donnee_articles!C376)</f>
        <v/>
      </c>
      <c r="D376" s="2" t="str">
        <f>IF(Inventaire!C376="","",Inventaire!C376/Base_de_donnee_articles!G376)</f>
        <v/>
      </c>
      <c r="E376" s="2" t="str">
        <f>IF(B376="","",SUMIFS(Journal_entrees_et_sorties!D$8:D$400,Journal_entrees_et_sorties!C$8:C$400,C376))</f>
        <v/>
      </c>
      <c r="F376" s="2" t="str">
        <f>IF(Inventaire!D376="","",Inventaire!D376)</f>
        <v/>
      </c>
      <c r="G376" s="3" t="str">
        <f t="shared" si="5"/>
        <v/>
      </c>
    </row>
    <row r="377" spans="2:7" x14ac:dyDescent="0.35">
      <c r="B377" s="2" t="str">
        <f>IF(Base_de_donnee_articles!B377="","",Base_de_donnee_articles!B377)</f>
        <v/>
      </c>
      <c r="C377" s="2" t="str">
        <f>IF(Base_de_donnee_articles!C377="","",Base_de_donnee_articles!C377)</f>
        <v/>
      </c>
      <c r="D377" s="2" t="str">
        <f>IF(Inventaire!C377="","",Inventaire!C377/Base_de_donnee_articles!G377)</f>
        <v/>
      </c>
      <c r="E377" s="2" t="str">
        <f>IF(B377="","",SUMIFS(Journal_entrees_et_sorties!D$8:D$400,Journal_entrees_et_sorties!C$8:C$400,C377))</f>
        <v/>
      </c>
      <c r="F377" s="2" t="str">
        <f>IF(Inventaire!D377="","",Inventaire!D377)</f>
        <v/>
      </c>
      <c r="G377" s="3" t="str">
        <f t="shared" si="5"/>
        <v/>
      </c>
    </row>
    <row r="378" spans="2:7" x14ac:dyDescent="0.35">
      <c r="B378" s="2" t="str">
        <f>IF(Base_de_donnee_articles!B378="","",Base_de_donnee_articles!B378)</f>
        <v/>
      </c>
      <c r="C378" s="2" t="str">
        <f>IF(Base_de_donnee_articles!C378="","",Base_de_donnee_articles!C378)</f>
        <v/>
      </c>
      <c r="D378" s="2" t="str">
        <f>IF(Inventaire!C378="","",Inventaire!C378/Base_de_donnee_articles!G378)</f>
        <v/>
      </c>
      <c r="E378" s="2" t="str">
        <f>IF(B378="","",SUMIFS(Journal_entrees_et_sorties!D$8:D$400,Journal_entrees_et_sorties!C$8:C$400,C378))</f>
        <v/>
      </c>
      <c r="F378" s="2" t="str">
        <f>IF(Inventaire!D378="","",Inventaire!D378)</f>
        <v/>
      </c>
      <c r="G378" s="3" t="str">
        <f t="shared" si="5"/>
        <v/>
      </c>
    </row>
    <row r="379" spans="2:7" x14ac:dyDescent="0.35">
      <c r="B379" s="2" t="str">
        <f>IF(Base_de_donnee_articles!B379="","",Base_de_donnee_articles!B379)</f>
        <v/>
      </c>
      <c r="C379" s="2" t="str">
        <f>IF(Base_de_donnee_articles!C379="","",Base_de_donnee_articles!C379)</f>
        <v/>
      </c>
      <c r="D379" s="2" t="str">
        <f>IF(Inventaire!C379="","",Inventaire!C379/Base_de_donnee_articles!G379)</f>
        <v/>
      </c>
      <c r="E379" s="2" t="str">
        <f>IF(B379="","",SUMIFS(Journal_entrees_et_sorties!D$8:D$400,Journal_entrees_et_sorties!C$8:C$400,C379))</f>
        <v/>
      </c>
      <c r="F379" s="2" t="str">
        <f>IF(Inventaire!D379="","",Inventaire!D379)</f>
        <v/>
      </c>
      <c r="G379" s="3" t="str">
        <f t="shared" si="5"/>
        <v/>
      </c>
    </row>
    <row r="380" spans="2:7" x14ac:dyDescent="0.35">
      <c r="B380" s="2" t="str">
        <f>IF(Base_de_donnee_articles!B380="","",Base_de_donnee_articles!B380)</f>
        <v/>
      </c>
      <c r="C380" s="2" t="str">
        <f>IF(Base_de_donnee_articles!C380="","",Base_de_donnee_articles!C380)</f>
        <v/>
      </c>
      <c r="D380" s="2" t="str">
        <f>IF(Inventaire!C380="","",Inventaire!C380/Base_de_donnee_articles!G380)</f>
        <v/>
      </c>
      <c r="E380" s="2" t="str">
        <f>IF(B380="","",SUMIFS(Journal_entrees_et_sorties!D$8:D$400,Journal_entrees_et_sorties!C$8:C$400,C380))</f>
        <v/>
      </c>
      <c r="F380" s="2" t="str">
        <f>IF(Inventaire!D380="","",Inventaire!D380)</f>
        <v/>
      </c>
      <c r="G380" s="3" t="str">
        <f t="shared" si="5"/>
        <v/>
      </c>
    </row>
    <row r="381" spans="2:7" x14ac:dyDescent="0.35">
      <c r="B381" s="2" t="str">
        <f>IF(Base_de_donnee_articles!B381="","",Base_de_donnee_articles!B381)</f>
        <v/>
      </c>
      <c r="C381" s="2" t="str">
        <f>IF(Base_de_donnee_articles!C381="","",Base_de_donnee_articles!C381)</f>
        <v/>
      </c>
      <c r="D381" s="2" t="str">
        <f>IF(Inventaire!C381="","",Inventaire!C381/Base_de_donnee_articles!G381)</f>
        <v/>
      </c>
      <c r="E381" s="2" t="str">
        <f>IF(B381="","",SUMIFS(Journal_entrees_et_sorties!D$8:D$400,Journal_entrees_et_sorties!C$8:C$400,C381))</f>
        <v/>
      </c>
      <c r="F381" s="2" t="str">
        <f>IF(Inventaire!D381="","",Inventaire!D381)</f>
        <v/>
      </c>
      <c r="G381" s="3" t="str">
        <f t="shared" si="5"/>
        <v/>
      </c>
    </row>
    <row r="382" spans="2:7" x14ac:dyDescent="0.35">
      <c r="B382" s="2" t="str">
        <f>IF(Base_de_donnee_articles!B382="","",Base_de_donnee_articles!B382)</f>
        <v/>
      </c>
      <c r="C382" s="2" t="str">
        <f>IF(Base_de_donnee_articles!C382="","",Base_de_donnee_articles!C382)</f>
        <v/>
      </c>
      <c r="D382" s="2" t="str">
        <f>IF(Inventaire!C382="","",Inventaire!C382/Base_de_donnee_articles!G382)</f>
        <v/>
      </c>
      <c r="E382" s="2" t="str">
        <f>IF(B382="","",SUMIFS(Journal_entrees_et_sorties!D$8:D$400,Journal_entrees_et_sorties!C$8:C$400,C382))</f>
        <v/>
      </c>
      <c r="F382" s="2" t="str">
        <f>IF(Inventaire!D382="","",Inventaire!D382)</f>
        <v/>
      </c>
      <c r="G382" s="3" t="str">
        <f t="shared" si="5"/>
        <v/>
      </c>
    </row>
    <row r="383" spans="2:7" x14ac:dyDescent="0.35">
      <c r="B383" s="2" t="str">
        <f>IF(Base_de_donnee_articles!B383="","",Base_de_donnee_articles!B383)</f>
        <v/>
      </c>
      <c r="C383" s="2" t="str">
        <f>IF(Base_de_donnee_articles!C383="","",Base_de_donnee_articles!C383)</f>
        <v/>
      </c>
      <c r="D383" s="2" t="str">
        <f>IF(Inventaire!C383="","",Inventaire!C383/Base_de_donnee_articles!G383)</f>
        <v/>
      </c>
      <c r="E383" s="2" t="str">
        <f>IF(B383="","",SUMIFS(Journal_entrees_et_sorties!D$8:D$400,Journal_entrees_et_sorties!C$8:C$400,C383))</f>
        <v/>
      </c>
      <c r="F383" s="2" t="str">
        <f>IF(Inventaire!D383="","",Inventaire!D383)</f>
        <v/>
      </c>
      <c r="G383" s="3" t="str">
        <f t="shared" si="5"/>
        <v/>
      </c>
    </row>
    <row r="384" spans="2:7" x14ac:dyDescent="0.35">
      <c r="B384" s="2" t="str">
        <f>IF(Base_de_donnee_articles!B384="","",Base_de_donnee_articles!B384)</f>
        <v/>
      </c>
      <c r="C384" s="2" t="str">
        <f>IF(Base_de_donnee_articles!C384="","",Base_de_donnee_articles!C384)</f>
        <v/>
      </c>
      <c r="D384" s="2" t="str">
        <f>IF(Inventaire!C384="","",Inventaire!C384/Base_de_donnee_articles!G384)</f>
        <v/>
      </c>
      <c r="E384" s="2" t="str">
        <f>IF(B384="","",SUMIFS(Journal_entrees_et_sorties!D$8:D$400,Journal_entrees_et_sorties!C$8:C$400,C384))</f>
        <v/>
      </c>
      <c r="F384" s="2" t="str">
        <f>IF(Inventaire!D384="","",Inventaire!D384)</f>
        <v/>
      </c>
      <c r="G384" s="3" t="str">
        <f t="shared" si="5"/>
        <v/>
      </c>
    </row>
    <row r="385" spans="2:7" x14ac:dyDescent="0.35">
      <c r="B385" s="2" t="str">
        <f>IF(Base_de_donnee_articles!B385="","",Base_de_donnee_articles!B385)</f>
        <v/>
      </c>
      <c r="C385" s="2" t="str">
        <f>IF(Base_de_donnee_articles!C385="","",Base_de_donnee_articles!C385)</f>
        <v/>
      </c>
      <c r="D385" s="2" t="str">
        <f>IF(Inventaire!C385="","",Inventaire!C385/Base_de_donnee_articles!G385)</f>
        <v/>
      </c>
      <c r="E385" s="2" t="str">
        <f>IF(B385="","",SUMIFS(Journal_entrees_et_sorties!D$8:D$400,Journal_entrees_et_sorties!C$8:C$400,C385))</f>
        <v/>
      </c>
      <c r="F385" s="2" t="str">
        <f>IF(Inventaire!D385="","",Inventaire!D385)</f>
        <v/>
      </c>
      <c r="G385" s="3" t="str">
        <f t="shared" si="5"/>
        <v/>
      </c>
    </row>
    <row r="386" spans="2:7" x14ac:dyDescent="0.35">
      <c r="B386" s="2" t="str">
        <f>IF(Base_de_donnee_articles!B386="","",Base_de_donnee_articles!B386)</f>
        <v/>
      </c>
      <c r="C386" s="2" t="str">
        <f>IF(Base_de_donnee_articles!C386="","",Base_de_donnee_articles!C386)</f>
        <v/>
      </c>
      <c r="D386" s="2" t="str">
        <f>IF(Inventaire!C386="","",Inventaire!C386/Base_de_donnee_articles!G386)</f>
        <v/>
      </c>
      <c r="E386" s="2" t="str">
        <f>IF(B386="","",SUMIFS(Journal_entrees_et_sorties!D$8:D$400,Journal_entrees_et_sorties!C$8:C$400,C386))</f>
        <v/>
      </c>
      <c r="F386" s="2" t="str">
        <f>IF(Inventaire!D386="","",Inventaire!D386)</f>
        <v/>
      </c>
      <c r="G386" s="3" t="str">
        <f t="shared" si="5"/>
        <v/>
      </c>
    </row>
    <row r="387" spans="2:7" x14ac:dyDescent="0.35">
      <c r="B387" s="2" t="str">
        <f>IF(Base_de_donnee_articles!B387="","",Base_de_donnee_articles!B387)</f>
        <v/>
      </c>
      <c r="C387" s="2" t="str">
        <f>IF(Base_de_donnee_articles!C387="","",Base_de_donnee_articles!C387)</f>
        <v/>
      </c>
      <c r="D387" s="2" t="str">
        <f>IF(Inventaire!C387="","",Inventaire!C387/Base_de_donnee_articles!G387)</f>
        <v/>
      </c>
      <c r="E387" s="2" t="str">
        <f>IF(B387="","",SUMIFS(Journal_entrees_et_sorties!D$8:D$400,Journal_entrees_et_sorties!C$8:C$400,C387))</f>
        <v/>
      </c>
      <c r="F387" s="2" t="str">
        <f>IF(Inventaire!D387="","",Inventaire!D387)</f>
        <v/>
      </c>
      <c r="G387" s="3" t="str">
        <f t="shared" si="5"/>
        <v/>
      </c>
    </row>
    <row r="388" spans="2:7" x14ac:dyDescent="0.35">
      <c r="B388" s="2" t="str">
        <f>IF(Base_de_donnee_articles!B388="","",Base_de_donnee_articles!B388)</f>
        <v/>
      </c>
      <c r="C388" s="2" t="str">
        <f>IF(Base_de_donnee_articles!C388="","",Base_de_donnee_articles!C388)</f>
        <v/>
      </c>
      <c r="D388" s="2" t="str">
        <f>IF(Inventaire!C388="","",Inventaire!C388/Base_de_donnee_articles!G388)</f>
        <v/>
      </c>
      <c r="E388" s="2" t="str">
        <f>IF(B388="","",SUMIFS(Journal_entrees_et_sorties!D$8:D$400,Journal_entrees_et_sorties!C$8:C$400,C388))</f>
        <v/>
      </c>
      <c r="F388" s="2" t="str">
        <f>IF(Inventaire!D388="","",Inventaire!D388)</f>
        <v/>
      </c>
      <c r="G388" s="3" t="str">
        <f t="shared" si="5"/>
        <v/>
      </c>
    </row>
    <row r="389" spans="2:7" x14ac:dyDescent="0.35">
      <c r="B389" s="2" t="str">
        <f>IF(Base_de_donnee_articles!B389="","",Base_de_donnee_articles!B389)</f>
        <v/>
      </c>
      <c r="C389" s="2" t="str">
        <f>IF(Base_de_donnee_articles!C389="","",Base_de_donnee_articles!C389)</f>
        <v/>
      </c>
      <c r="D389" s="2" t="str">
        <f>IF(Inventaire!C389="","",Inventaire!C389/Base_de_donnee_articles!G389)</f>
        <v/>
      </c>
      <c r="E389" s="2" t="str">
        <f>IF(B389="","",SUMIFS(Journal_entrees_et_sorties!D$8:D$400,Journal_entrees_et_sorties!C$8:C$400,C389))</f>
        <v/>
      </c>
      <c r="F389" s="2" t="str">
        <f>IF(Inventaire!D389="","",Inventaire!D389)</f>
        <v/>
      </c>
      <c r="G389" s="3" t="str">
        <f t="shared" si="5"/>
        <v/>
      </c>
    </row>
    <row r="390" spans="2:7" x14ac:dyDescent="0.35">
      <c r="B390" s="2" t="str">
        <f>IF(Base_de_donnee_articles!B390="","",Base_de_donnee_articles!B390)</f>
        <v/>
      </c>
      <c r="C390" s="2" t="str">
        <f>IF(Base_de_donnee_articles!C390="","",Base_de_donnee_articles!C390)</f>
        <v/>
      </c>
      <c r="D390" s="2" t="str">
        <f>IF(Inventaire!C390="","",Inventaire!C390/Base_de_donnee_articles!G390)</f>
        <v/>
      </c>
      <c r="E390" s="2" t="str">
        <f>IF(B390="","",SUMIFS(Journal_entrees_et_sorties!D$8:D$400,Journal_entrees_et_sorties!C$8:C$400,C390))</f>
        <v/>
      </c>
      <c r="F390" s="2" t="str">
        <f>IF(Inventaire!D390="","",Inventaire!D390)</f>
        <v/>
      </c>
      <c r="G390" s="3" t="str">
        <f t="shared" si="5"/>
        <v/>
      </c>
    </row>
    <row r="391" spans="2:7" x14ac:dyDescent="0.35">
      <c r="B391" s="2" t="str">
        <f>IF(Base_de_donnee_articles!B391="","",Base_de_donnee_articles!B391)</f>
        <v/>
      </c>
      <c r="C391" s="2" t="str">
        <f>IF(Base_de_donnee_articles!C391="","",Base_de_donnee_articles!C391)</f>
        <v/>
      </c>
      <c r="D391" s="2" t="str">
        <f>IF(Inventaire!C391="","",Inventaire!C391/Base_de_donnee_articles!G391)</f>
        <v/>
      </c>
      <c r="E391" s="2" t="str">
        <f>IF(B391="","",SUMIFS(Journal_entrees_et_sorties!D$8:D$400,Journal_entrees_et_sorties!C$8:C$400,C391))</f>
        <v/>
      </c>
      <c r="F391" s="2" t="str">
        <f>IF(Inventaire!D391="","",Inventaire!D391)</f>
        <v/>
      </c>
      <c r="G391" s="3" t="str">
        <f t="shared" si="5"/>
        <v/>
      </c>
    </row>
    <row r="392" spans="2:7" x14ac:dyDescent="0.35">
      <c r="B392" s="2" t="str">
        <f>IF(Base_de_donnee_articles!B392="","",Base_de_donnee_articles!B392)</f>
        <v/>
      </c>
      <c r="C392" s="2" t="str">
        <f>IF(Base_de_donnee_articles!C392="","",Base_de_donnee_articles!C392)</f>
        <v/>
      </c>
      <c r="D392" s="2" t="str">
        <f>IF(Inventaire!C392="","",Inventaire!C392/Base_de_donnee_articles!G392)</f>
        <v/>
      </c>
      <c r="E392" s="2" t="str">
        <f>IF(B392="","",SUMIFS(Journal_entrees_et_sorties!D$8:D$400,Journal_entrees_et_sorties!C$8:C$400,C392))</f>
        <v/>
      </c>
      <c r="F392" s="2" t="str">
        <f>IF(Inventaire!D392="","",Inventaire!D392)</f>
        <v/>
      </c>
      <c r="G392" s="3" t="str">
        <f t="shared" si="5"/>
        <v/>
      </c>
    </row>
    <row r="393" spans="2:7" x14ac:dyDescent="0.35">
      <c r="B393" s="2" t="str">
        <f>IF(Base_de_donnee_articles!B393="","",Base_de_donnee_articles!B393)</f>
        <v/>
      </c>
      <c r="C393" s="2" t="str">
        <f>IF(Base_de_donnee_articles!C393="","",Base_de_donnee_articles!C393)</f>
        <v/>
      </c>
      <c r="D393" s="2" t="str">
        <f>IF(Inventaire!C393="","",Inventaire!C393/Base_de_donnee_articles!G393)</f>
        <v/>
      </c>
      <c r="E393" s="2" t="str">
        <f>IF(B393="","",SUMIFS(Journal_entrees_et_sorties!D$8:D$400,Journal_entrees_et_sorties!C$8:C$400,C393))</f>
        <v/>
      </c>
      <c r="F393" s="2" t="str">
        <f>IF(Inventaire!D393="","",Inventaire!D393)</f>
        <v/>
      </c>
      <c r="G393" s="3" t="str">
        <f t="shared" ref="G393:G456" si="6">IF(C393="","",D393+E393-F393)</f>
        <v/>
      </c>
    </row>
    <row r="394" spans="2:7" x14ac:dyDescent="0.35">
      <c r="B394" s="2" t="str">
        <f>IF(Base_de_donnee_articles!B394="","",Base_de_donnee_articles!B394)</f>
        <v/>
      </c>
      <c r="C394" s="2" t="str">
        <f>IF(Base_de_donnee_articles!C394="","",Base_de_donnee_articles!C394)</f>
        <v/>
      </c>
      <c r="D394" s="2" t="str">
        <f>IF(Inventaire!C394="","",Inventaire!C394/Base_de_donnee_articles!G394)</f>
        <v/>
      </c>
      <c r="E394" s="2" t="str">
        <f>IF(B394="","",SUMIFS(Journal_entrees_et_sorties!D$8:D$400,Journal_entrees_et_sorties!C$8:C$400,C394))</f>
        <v/>
      </c>
      <c r="F394" s="2" t="str">
        <f>IF(Inventaire!D394="","",Inventaire!D394)</f>
        <v/>
      </c>
      <c r="G394" s="3" t="str">
        <f t="shared" si="6"/>
        <v/>
      </c>
    </row>
    <row r="395" spans="2:7" x14ac:dyDescent="0.35">
      <c r="B395" s="2" t="str">
        <f>IF(Base_de_donnee_articles!B395="","",Base_de_donnee_articles!B395)</f>
        <v/>
      </c>
      <c r="C395" s="2" t="str">
        <f>IF(Base_de_donnee_articles!C395="","",Base_de_donnee_articles!C395)</f>
        <v/>
      </c>
      <c r="D395" s="2" t="str">
        <f>IF(Inventaire!C395="","",Inventaire!C395/Base_de_donnee_articles!G395)</f>
        <v/>
      </c>
      <c r="E395" s="2" t="str">
        <f>IF(B395="","",SUMIFS(Journal_entrees_et_sorties!D$8:D$400,Journal_entrees_et_sorties!C$8:C$400,C395))</f>
        <v/>
      </c>
      <c r="F395" s="2" t="str">
        <f>IF(Inventaire!D395="","",Inventaire!D395)</f>
        <v/>
      </c>
      <c r="G395" s="3" t="str">
        <f t="shared" si="6"/>
        <v/>
      </c>
    </row>
    <row r="396" spans="2:7" x14ac:dyDescent="0.35">
      <c r="B396" s="2" t="str">
        <f>IF(Base_de_donnee_articles!B396="","",Base_de_donnee_articles!B396)</f>
        <v/>
      </c>
      <c r="C396" s="2" t="str">
        <f>IF(Base_de_donnee_articles!C396="","",Base_de_donnee_articles!C396)</f>
        <v/>
      </c>
      <c r="D396" s="2" t="str">
        <f>IF(Inventaire!C396="","",Inventaire!C396/Base_de_donnee_articles!G396)</f>
        <v/>
      </c>
      <c r="E396" s="2" t="str">
        <f>IF(B396="","",SUMIFS(Journal_entrees_et_sorties!D$8:D$400,Journal_entrees_et_sorties!C$8:C$400,C396))</f>
        <v/>
      </c>
      <c r="F396" s="2" t="str">
        <f>IF(Inventaire!D396="","",Inventaire!D396)</f>
        <v/>
      </c>
      <c r="G396" s="3" t="str">
        <f t="shared" si="6"/>
        <v/>
      </c>
    </row>
    <row r="397" spans="2:7" x14ac:dyDescent="0.35">
      <c r="B397" s="2" t="str">
        <f>IF(Base_de_donnee_articles!B397="","",Base_de_donnee_articles!B397)</f>
        <v/>
      </c>
      <c r="C397" s="2" t="str">
        <f>IF(Base_de_donnee_articles!C397="","",Base_de_donnee_articles!C397)</f>
        <v/>
      </c>
      <c r="D397" s="2" t="str">
        <f>IF(Inventaire!C397="","",Inventaire!C397/Base_de_donnee_articles!G397)</f>
        <v/>
      </c>
      <c r="E397" s="2" t="str">
        <f>IF(B397="","",SUMIFS(Journal_entrees_et_sorties!D$8:D$400,Journal_entrees_et_sorties!C$8:C$400,C397))</f>
        <v/>
      </c>
      <c r="F397" s="2" t="str">
        <f>IF(Inventaire!D397="","",Inventaire!D397)</f>
        <v/>
      </c>
      <c r="G397" s="3" t="str">
        <f t="shared" si="6"/>
        <v/>
      </c>
    </row>
    <row r="398" spans="2:7" x14ac:dyDescent="0.35">
      <c r="B398" s="2" t="str">
        <f>IF(Base_de_donnee_articles!B398="","",Base_de_donnee_articles!B398)</f>
        <v/>
      </c>
      <c r="C398" s="2" t="str">
        <f>IF(Base_de_donnee_articles!C398="","",Base_de_donnee_articles!C398)</f>
        <v/>
      </c>
      <c r="D398" s="2" t="str">
        <f>IF(Inventaire!C398="","",Inventaire!C398/Base_de_donnee_articles!G398)</f>
        <v/>
      </c>
      <c r="E398" s="2" t="str">
        <f>IF(B398="","",SUMIFS(Journal_entrees_et_sorties!D$8:D$400,Journal_entrees_et_sorties!C$8:C$400,C398))</f>
        <v/>
      </c>
      <c r="F398" s="2" t="str">
        <f>IF(Inventaire!D398="","",Inventaire!D398)</f>
        <v/>
      </c>
      <c r="G398" s="3" t="str">
        <f t="shared" si="6"/>
        <v/>
      </c>
    </row>
    <row r="399" spans="2:7" x14ac:dyDescent="0.35">
      <c r="B399" s="2" t="str">
        <f>IF(Base_de_donnee_articles!B399="","",Base_de_donnee_articles!B399)</f>
        <v/>
      </c>
      <c r="C399" s="2" t="str">
        <f>IF(Base_de_donnee_articles!C399="","",Base_de_donnee_articles!C399)</f>
        <v/>
      </c>
      <c r="D399" s="2" t="str">
        <f>IF(Inventaire!C399="","",Inventaire!C399/Base_de_donnee_articles!G399)</f>
        <v/>
      </c>
      <c r="E399" s="2" t="str">
        <f>IF(B399="","",SUMIFS(Journal_entrees_et_sorties!D$8:D$400,Journal_entrees_et_sorties!C$8:C$400,C399))</f>
        <v/>
      </c>
      <c r="F399" s="2" t="str">
        <f>IF(Inventaire!D399="","",Inventaire!D399)</f>
        <v/>
      </c>
      <c r="G399" s="3" t="str">
        <f t="shared" si="6"/>
        <v/>
      </c>
    </row>
    <row r="400" spans="2:7" x14ac:dyDescent="0.35">
      <c r="B400" s="2" t="str">
        <f>IF(Base_de_donnee_articles!B400="","",Base_de_donnee_articles!B400)</f>
        <v/>
      </c>
      <c r="C400" s="2" t="str">
        <f>IF(Base_de_donnee_articles!C400="","",Base_de_donnee_articles!C400)</f>
        <v/>
      </c>
      <c r="D400" s="2" t="str">
        <f>IF(Inventaire!C400="","",Inventaire!C400/Base_de_donnee_articles!G400)</f>
        <v/>
      </c>
      <c r="E400" s="2" t="str">
        <f>IF(B400="","",SUMIFS(Journal_entrees_et_sorties!D$8:D$400,Journal_entrees_et_sorties!C$8:C$400,C400))</f>
        <v/>
      </c>
      <c r="F400" s="2" t="str">
        <f>IF(Inventaire!D400="","",Inventaire!D400)</f>
        <v/>
      </c>
      <c r="G400" s="3" t="str">
        <f t="shared" si="6"/>
        <v/>
      </c>
    </row>
    <row r="401" spans="2:7" x14ac:dyDescent="0.35">
      <c r="B401" s="2" t="str">
        <f>IF(Base_de_donnee_articles!B401="","",Base_de_donnee_articles!B401)</f>
        <v/>
      </c>
      <c r="C401" s="2" t="str">
        <f>IF(Base_de_donnee_articles!C401="","",Base_de_donnee_articles!C401)</f>
        <v/>
      </c>
      <c r="D401" s="2" t="str">
        <f>IF(Inventaire!C401="","",Inventaire!C401/Base_de_donnee_articles!G401)</f>
        <v/>
      </c>
      <c r="E401" s="2" t="str">
        <f>IF(B401="","",SUMIFS(Journal_entrees_et_sorties!D$8:D$400,Journal_entrees_et_sorties!C$8:C$400,C401))</f>
        <v/>
      </c>
      <c r="F401" s="2" t="str">
        <f>IF(Inventaire!D401="","",Inventaire!D401)</f>
        <v/>
      </c>
      <c r="G401" s="3" t="str">
        <f t="shared" si="6"/>
        <v/>
      </c>
    </row>
    <row r="402" spans="2:7" x14ac:dyDescent="0.35">
      <c r="B402" s="2" t="str">
        <f>IF(Base_de_donnee_articles!B402="","",Base_de_donnee_articles!B402)</f>
        <v/>
      </c>
      <c r="C402" s="2" t="str">
        <f>IF(Base_de_donnee_articles!C402="","",Base_de_donnee_articles!C402)</f>
        <v/>
      </c>
      <c r="D402" s="2" t="str">
        <f>IF(Inventaire!C402="","",Inventaire!C402/Base_de_donnee_articles!G402)</f>
        <v/>
      </c>
      <c r="E402" s="2" t="str">
        <f>IF(B402="","",SUMIFS(Journal_entrees_et_sorties!D$8:D$400,Journal_entrees_et_sorties!C$8:C$400,C402))</f>
        <v/>
      </c>
      <c r="F402" s="2" t="str">
        <f>IF(Inventaire!D402="","",Inventaire!D402)</f>
        <v/>
      </c>
      <c r="G402" s="3" t="str">
        <f t="shared" si="6"/>
        <v/>
      </c>
    </row>
    <row r="403" spans="2:7" x14ac:dyDescent="0.35">
      <c r="B403" s="2" t="str">
        <f>IF(Base_de_donnee_articles!B403="","",Base_de_donnee_articles!B403)</f>
        <v/>
      </c>
      <c r="C403" s="2" t="str">
        <f>IF(Base_de_donnee_articles!C403="","",Base_de_donnee_articles!C403)</f>
        <v/>
      </c>
      <c r="D403" s="2" t="str">
        <f>IF(Inventaire!C403="","",Inventaire!C403/Base_de_donnee_articles!G403)</f>
        <v/>
      </c>
      <c r="E403" s="2" t="str">
        <f>IF(B403="","",SUMIFS(Journal_entrees_et_sorties!D$8:D$400,Journal_entrees_et_sorties!C$8:C$400,C403))</f>
        <v/>
      </c>
      <c r="F403" s="2" t="str">
        <f>IF(Inventaire!D403="","",Inventaire!D403)</f>
        <v/>
      </c>
      <c r="G403" s="3" t="str">
        <f t="shared" si="6"/>
        <v/>
      </c>
    </row>
    <row r="404" spans="2:7" x14ac:dyDescent="0.35">
      <c r="B404" s="2" t="str">
        <f>IF(Base_de_donnee_articles!B404="","",Base_de_donnee_articles!B404)</f>
        <v/>
      </c>
      <c r="C404" s="2" t="str">
        <f>IF(Base_de_donnee_articles!C404="","",Base_de_donnee_articles!C404)</f>
        <v/>
      </c>
      <c r="D404" s="2" t="str">
        <f>IF(Inventaire!C404="","",Inventaire!C404/Base_de_donnee_articles!G404)</f>
        <v/>
      </c>
      <c r="E404" s="2" t="str">
        <f>IF(B404="","",SUMIFS(Journal_entrees_et_sorties!D$8:D$400,Journal_entrees_et_sorties!C$8:C$400,C404))</f>
        <v/>
      </c>
      <c r="F404" s="2" t="str">
        <f>IF(Inventaire!D404="","",Inventaire!D404)</f>
        <v/>
      </c>
      <c r="G404" s="3" t="str">
        <f t="shared" si="6"/>
        <v/>
      </c>
    </row>
    <row r="405" spans="2:7" x14ac:dyDescent="0.35">
      <c r="B405" s="2" t="str">
        <f>IF(Base_de_donnee_articles!B405="","",Base_de_donnee_articles!B405)</f>
        <v/>
      </c>
      <c r="C405" s="2" t="str">
        <f>IF(Base_de_donnee_articles!C405="","",Base_de_donnee_articles!C405)</f>
        <v/>
      </c>
      <c r="D405" s="2" t="str">
        <f>IF(Inventaire!C405="","",Inventaire!C405/Base_de_donnee_articles!G405)</f>
        <v/>
      </c>
      <c r="E405" s="2" t="str">
        <f>IF(B405="","",SUMIFS(Journal_entrees_et_sorties!D$8:D$400,Journal_entrees_et_sorties!C$8:C$400,C405))</f>
        <v/>
      </c>
      <c r="F405" s="2" t="str">
        <f>IF(Inventaire!D405="","",Inventaire!D405)</f>
        <v/>
      </c>
      <c r="G405" s="3" t="str">
        <f t="shared" si="6"/>
        <v/>
      </c>
    </row>
    <row r="406" spans="2:7" x14ac:dyDescent="0.35">
      <c r="B406" s="2" t="str">
        <f>IF(Base_de_donnee_articles!B406="","",Base_de_donnee_articles!B406)</f>
        <v/>
      </c>
      <c r="C406" s="2" t="str">
        <f>IF(Base_de_donnee_articles!C406="","",Base_de_donnee_articles!C406)</f>
        <v/>
      </c>
      <c r="D406" s="2" t="str">
        <f>IF(Inventaire!C406="","",Inventaire!C406/Base_de_donnee_articles!G406)</f>
        <v/>
      </c>
      <c r="E406" s="2" t="str">
        <f>IF(B406="","",SUMIFS(Journal_entrees_et_sorties!D$8:D$400,Journal_entrees_et_sorties!C$8:C$400,C406))</f>
        <v/>
      </c>
      <c r="F406" s="2" t="str">
        <f>IF(Inventaire!D406="","",Inventaire!D406)</f>
        <v/>
      </c>
      <c r="G406" s="3" t="str">
        <f t="shared" si="6"/>
        <v/>
      </c>
    </row>
    <row r="407" spans="2:7" x14ac:dyDescent="0.35">
      <c r="B407" s="2" t="str">
        <f>IF(Base_de_donnee_articles!B407="","",Base_de_donnee_articles!B407)</f>
        <v/>
      </c>
      <c r="C407" s="2" t="str">
        <f>IF(Base_de_donnee_articles!C407="","",Base_de_donnee_articles!C407)</f>
        <v/>
      </c>
      <c r="D407" s="2" t="str">
        <f>IF(Inventaire!C407="","",Inventaire!C407/Base_de_donnee_articles!G407)</f>
        <v/>
      </c>
      <c r="E407" s="2" t="str">
        <f>IF(B407="","",SUMIFS(Journal_entrees_et_sorties!D$8:D$400,Journal_entrees_et_sorties!C$8:C$400,C407))</f>
        <v/>
      </c>
      <c r="F407" s="2" t="str">
        <f>IF(Inventaire!D407="","",Inventaire!D407)</f>
        <v/>
      </c>
      <c r="G407" s="3" t="str">
        <f t="shared" si="6"/>
        <v/>
      </c>
    </row>
    <row r="408" spans="2:7" x14ac:dyDescent="0.35">
      <c r="B408" s="2" t="str">
        <f>IF(Base_de_donnee_articles!B408="","",Base_de_donnee_articles!B408)</f>
        <v/>
      </c>
      <c r="C408" s="2" t="str">
        <f>IF(Base_de_donnee_articles!C408="","",Base_de_donnee_articles!C408)</f>
        <v/>
      </c>
      <c r="D408" s="2" t="str">
        <f>IF(Inventaire!C408="","",Inventaire!C408/Base_de_donnee_articles!G408)</f>
        <v/>
      </c>
      <c r="E408" s="2" t="str">
        <f>IF(B408="","",SUMIFS(Journal_entrees_et_sorties!D$8:D$400,Journal_entrees_et_sorties!C$8:C$400,C408))</f>
        <v/>
      </c>
      <c r="F408" s="2" t="str">
        <f>IF(Inventaire!D408="","",Inventaire!D408)</f>
        <v/>
      </c>
      <c r="G408" s="3" t="str">
        <f t="shared" si="6"/>
        <v/>
      </c>
    </row>
    <row r="409" spans="2:7" x14ac:dyDescent="0.35">
      <c r="B409" s="2" t="str">
        <f>IF(Base_de_donnee_articles!B409="","",Base_de_donnee_articles!B409)</f>
        <v/>
      </c>
      <c r="C409" s="2" t="str">
        <f>IF(Base_de_donnee_articles!C409="","",Base_de_donnee_articles!C409)</f>
        <v/>
      </c>
      <c r="D409" s="2" t="str">
        <f>IF(Inventaire!C409="","",Inventaire!C409/Base_de_donnee_articles!G409)</f>
        <v/>
      </c>
      <c r="E409" s="2" t="str">
        <f>IF(B409="","",SUMIFS(Journal_entrees_et_sorties!D$8:D$400,Journal_entrees_et_sorties!C$8:C$400,C409))</f>
        <v/>
      </c>
      <c r="F409" s="2" t="str">
        <f>IF(Inventaire!D409="","",Inventaire!D409)</f>
        <v/>
      </c>
      <c r="G409" s="3" t="str">
        <f t="shared" si="6"/>
        <v/>
      </c>
    </row>
    <row r="410" spans="2:7" x14ac:dyDescent="0.35">
      <c r="B410" s="2" t="str">
        <f>IF(Base_de_donnee_articles!B410="","",Base_de_donnee_articles!B410)</f>
        <v/>
      </c>
      <c r="C410" s="2" t="str">
        <f>IF(Base_de_donnee_articles!C410="","",Base_de_donnee_articles!C410)</f>
        <v/>
      </c>
      <c r="D410" s="2" t="str">
        <f>IF(Inventaire!C410="","",Inventaire!C410/Base_de_donnee_articles!G410)</f>
        <v/>
      </c>
      <c r="E410" s="2" t="str">
        <f>IF(B410="","",SUMIFS(Journal_entrees_et_sorties!D$8:D$400,Journal_entrees_et_sorties!C$8:C$400,C410))</f>
        <v/>
      </c>
      <c r="F410" s="2" t="str">
        <f>IF(Inventaire!D410="","",Inventaire!D410)</f>
        <v/>
      </c>
      <c r="G410" s="3" t="str">
        <f t="shared" si="6"/>
        <v/>
      </c>
    </row>
    <row r="411" spans="2:7" x14ac:dyDescent="0.35">
      <c r="B411" s="2" t="str">
        <f>IF(Base_de_donnee_articles!B411="","",Base_de_donnee_articles!B411)</f>
        <v/>
      </c>
      <c r="C411" s="2" t="str">
        <f>IF(Base_de_donnee_articles!C411="","",Base_de_donnee_articles!C411)</f>
        <v/>
      </c>
      <c r="D411" s="2" t="str">
        <f>IF(Inventaire!C411="","",Inventaire!C411/Base_de_donnee_articles!G411)</f>
        <v/>
      </c>
      <c r="E411" s="2" t="str">
        <f>IF(B411="","",SUMIFS(Journal_entrees_et_sorties!D$8:D$400,Journal_entrees_et_sorties!C$8:C$400,C411))</f>
        <v/>
      </c>
      <c r="F411" s="2" t="str">
        <f>IF(Inventaire!D411="","",Inventaire!D411)</f>
        <v/>
      </c>
      <c r="G411" s="3" t="str">
        <f t="shared" si="6"/>
        <v/>
      </c>
    </row>
    <row r="412" spans="2:7" x14ac:dyDescent="0.35">
      <c r="B412" s="2" t="str">
        <f>IF(Base_de_donnee_articles!B412="","",Base_de_donnee_articles!B412)</f>
        <v/>
      </c>
      <c r="C412" s="2" t="str">
        <f>IF(Base_de_donnee_articles!C412="","",Base_de_donnee_articles!C412)</f>
        <v/>
      </c>
      <c r="D412" s="2" t="str">
        <f>IF(Inventaire!C412="","",Inventaire!C412/Base_de_donnee_articles!G412)</f>
        <v/>
      </c>
      <c r="E412" s="2" t="str">
        <f>IF(B412="","",SUMIFS(Journal_entrees_et_sorties!D$8:D$400,Journal_entrees_et_sorties!C$8:C$400,C412))</f>
        <v/>
      </c>
      <c r="F412" s="2" t="str">
        <f>IF(Inventaire!D412="","",Inventaire!D412)</f>
        <v/>
      </c>
      <c r="G412" s="3" t="str">
        <f t="shared" si="6"/>
        <v/>
      </c>
    </row>
    <row r="413" spans="2:7" x14ac:dyDescent="0.35">
      <c r="B413" s="2" t="str">
        <f>IF(Base_de_donnee_articles!B413="","",Base_de_donnee_articles!B413)</f>
        <v/>
      </c>
      <c r="C413" s="2" t="str">
        <f>IF(Base_de_donnee_articles!C413="","",Base_de_donnee_articles!C413)</f>
        <v/>
      </c>
      <c r="D413" s="2" t="str">
        <f>IF(Inventaire!C413="","",Inventaire!C413/Base_de_donnee_articles!G413)</f>
        <v/>
      </c>
      <c r="E413" s="2" t="str">
        <f>IF(B413="","",SUMIFS(Journal_entrees_et_sorties!D$8:D$400,Journal_entrees_et_sorties!C$8:C$400,C413))</f>
        <v/>
      </c>
      <c r="F413" s="2" t="str">
        <f>IF(Inventaire!D413="","",Inventaire!D413)</f>
        <v/>
      </c>
      <c r="G413" s="3" t="str">
        <f t="shared" si="6"/>
        <v/>
      </c>
    </row>
    <row r="414" spans="2:7" x14ac:dyDescent="0.35">
      <c r="B414" s="2" t="str">
        <f>IF(Base_de_donnee_articles!B414="","",Base_de_donnee_articles!B414)</f>
        <v/>
      </c>
      <c r="C414" s="2" t="str">
        <f>IF(Base_de_donnee_articles!C414="","",Base_de_donnee_articles!C414)</f>
        <v/>
      </c>
      <c r="D414" s="2" t="str">
        <f>IF(Inventaire!C414="","",Inventaire!C414/Base_de_donnee_articles!G414)</f>
        <v/>
      </c>
      <c r="E414" s="2" t="str">
        <f>IF(B414="","",SUMIFS(Journal_entrees_et_sorties!D$8:D$400,Journal_entrees_et_sorties!C$8:C$400,C414))</f>
        <v/>
      </c>
      <c r="F414" s="2" t="str">
        <f>IF(Inventaire!D414="","",Inventaire!D414)</f>
        <v/>
      </c>
      <c r="G414" s="3" t="str">
        <f t="shared" si="6"/>
        <v/>
      </c>
    </row>
    <row r="415" spans="2:7" x14ac:dyDescent="0.35">
      <c r="B415" s="2" t="str">
        <f>IF(Base_de_donnee_articles!B415="","",Base_de_donnee_articles!B415)</f>
        <v/>
      </c>
      <c r="C415" s="2" t="str">
        <f>IF(Base_de_donnee_articles!C415="","",Base_de_donnee_articles!C415)</f>
        <v/>
      </c>
      <c r="D415" s="2" t="str">
        <f>IF(Inventaire!C415="","",Inventaire!C415/Base_de_donnee_articles!G415)</f>
        <v/>
      </c>
      <c r="E415" s="2" t="str">
        <f>IF(B415="","",SUMIFS(Journal_entrees_et_sorties!D$8:D$400,Journal_entrees_et_sorties!C$8:C$400,C415))</f>
        <v/>
      </c>
      <c r="F415" s="2" t="str">
        <f>IF(Inventaire!D415="","",Inventaire!D415)</f>
        <v/>
      </c>
      <c r="G415" s="3" t="str">
        <f t="shared" si="6"/>
        <v/>
      </c>
    </row>
    <row r="416" spans="2:7" x14ac:dyDescent="0.35">
      <c r="B416" s="2" t="str">
        <f>IF(Base_de_donnee_articles!B416="","",Base_de_donnee_articles!B416)</f>
        <v/>
      </c>
      <c r="C416" s="2" t="str">
        <f>IF(Base_de_donnee_articles!C416="","",Base_de_donnee_articles!C416)</f>
        <v/>
      </c>
      <c r="D416" s="2" t="str">
        <f>IF(Inventaire!C416="","",Inventaire!C416/Base_de_donnee_articles!G416)</f>
        <v/>
      </c>
      <c r="E416" s="2" t="str">
        <f>IF(B416="","",SUMIFS(Journal_entrees_et_sorties!D$8:D$400,Journal_entrees_et_sorties!C$8:C$400,C416))</f>
        <v/>
      </c>
      <c r="F416" s="2" t="str">
        <f>IF(Inventaire!D416="","",Inventaire!D416)</f>
        <v/>
      </c>
      <c r="G416" s="3" t="str">
        <f t="shared" si="6"/>
        <v/>
      </c>
    </row>
    <row r="417" spans="2:7" x14ac:dyDescent="0.35">
      <c r="B417" s="2" t="str">
        <f>IF(Base_de_donnee_articles!B417="","",Base_de_donnee_articles!B417)</f>
        <v/>
      </c>
      <c r="C417" s="2" t="str">
        <f>IF(Base_de_donnee_articles!C417="","",Base_de_donnee_articles!C417)</f>
        <v/>
      </c>
      <c r="D417" s="2" t="str">
        <f>IF(Inventaire!C417="","",Inventaire!C417/Base_de_donnee_articles!G417)</f>
        <v/>
      </c>
      <c r="E417" s="2" t="str">
        <f>IF(B417="","",SUMIFS(Journal_entrees_et_sorties!D$8:D$400,Journal_entrees_et_sorties!C$8:C$400,C417))</f>
        <v/>
      </c>
      <c r="F417" s="2" t="str">
        <f>IF(Inventaire!D417="","",Inventaire!D417)</f>
        <v/>
      </c>
      <c r="G417" s="3" t="str">
        <f t="shared" si="6"/>
        <v/>
      </c>
    </row>
    <row r="418" spans="2:7" x14ac:dyDescent="0.35">
      <c r="B418" s="2" t="str">
        <f>IF(Base_de_donnee_articles!B418="","",Base_de_donnee_articles!B418)</f>
        <v/>
      </c>
      <c r="C418" s="2" t="str">
        <f>IF(Base_de_donnee_articles!C418="","",Base_de_donnee_articles!C418)</f>
        <v/>
      </c>
      <c r="D418" s="2" t="str">
        <f>IF(Inventaire!C418="","",Inventaire!C418/Base_de_donnee_articles!G418)</f>
        <v/>
      </c>
      <c r="E418" s="2" t="str">
        <f>IF(B418="","",SUMIFS(Journal_entrees_et_sorties!D$8:D$400,Journal_entrees_et_sorties!C$8:C$400,C418))</f>
        <v/>
      </c>
      <c r="F418" s="2" t="str">
        <f>IF(Inventaire!D418="","",Inventaire!D418)</f>
        <v/>
      </c>
      <c r="G418" s="3" t="str">
        <f t="shared" si="6"/>
        <v/>
      </c>
    </row>
    <row r="419" spans="2:7" x14ac:dyDescent="0.35">
      <c r="B419" s="2" t="str">
        <f>IF(Base_de_donnee_articles!B419="","",Base_de_donnee_articles!B419)</f>
        <v/>
      </c>
      <c r="C419" s="2" t="str">
        <f>IF(Base_de_donnee_articles!C419="","",Base_de_donnee_articles!C419)</f>
        <v/>
      </c>
      <c r="D419" s="2" t="str">
        <f>IF(Inventaire!C419="","",Inventaire!C419/Base_de_donnee_articles!G419)</f>
        <v/>
      </c>
      <c r="E419" s="2" t="str">
        <f>IF(B419="","",SUMIFS(Journal_entrees_et_sorties!D$8:D$400,Journal_entrees_et_sorties!C$8:C$400,C419))</f>
        <v/>
      </c>
      <c r="F419" s="2" t="str">
        <f>IF(Inventaire!D419="","",Inventaire!D419)</f>
        <v/>
      </c>
      <c r="G419" s="3" t="str">
        <f t="shared" si="6"/>
        <v/>
      </c>
    </row>
    <row r="420" spans="2:7" x14ac:dyDescent="0.35">
      <c r="B420" s="2" t="str">
        <f>IF(Base_de_donnee_articles!B420="","",Base_de_donnee_articles!B420)</f>
        <v/>
      </c>
      <c r="C420" s="2" t="str">
        <f>IF(Base_de_donnee_articles!C420="","",Base_de_donnee_articles!C420)</f>
        <v/>
      </c>
      <c r="D420" s="2" t="str">
        <f>IF(Inventaire!C420="","",Inventaire!C420/Base_de_donnee_articles!G420)</f>
        <v/>
      </c>
      <c r="E420" s="2" t="str">
        <f>IF(B420="","",SUMIFS(Journal_entrees_et_sorties!D$8:D$400,Journal_entrees_et_sorties!C$8:C$400,C420))</f>
        <v/>
      </c>
      <c r="F420" s="2" t="str">
        <f>IF(Inventaire!D420="","",Inventaire!D420)</f>
        <v/>
      </c>
      <c r="G420" s="3" t="str">
        <f t="shared" si="6"/>
        <v/>
      </c>
    </row>
    <row r="421" spans="2:7" x14ac:dyDescent="0.35">
      <c r="B421" s="2" t="str">
        <f>IF(Base_de_donnee_articles!B421="","",Base_de_donnee_articles!B421)</f>
        <v/>
      </c>
      <c r="C421" s="2" t="str">
        <f>IF(Base_de_donnee_articles!C421="","",Base_de_donnee_articles!C421)</f>
        <v/>
      </c>
      <c r="D421" s="2" t="str">
        <f>IF(Inventaire!C421="","",Inventaire!C421/Base_de_donnee_articles!G421)</f>
        <v/>
      </c>
      <c r="E421" s="2" t="str">
        <f>IF(B421="","",SUMIFS(Journal_entrees_et_sorties!D$8:D$400,Journal_entrees_et_sorties!C$8:C$400,C421))</f>
        <v/>
      </c>
      <c r="F421" s="2" t="str">
        <f>IF(Inventaire!D421="","",Inventaire!D421)</f>
        <v/>
      </c>
      <c r="G421" s="3" t="str">
        <f t="shared" si="6"/>
        <v/>
      </c>
    </row>
    <row r="422" spans="2:7" x14ac:dyDescent="0.35">
      <c r="B422" s="2" t="str">
        <f>IF(Base_de_donnee_articles!B422="","",Base_de_donnee_articles!B422)</f>
        <v/>
      </c>
      <c r="C422" s="2" t="str">
        <f>IF(Base_de_donnee_articles!C422="","",Base_de_donnee_articles!C422)</f>
        <v/>
      </c>
      <c r="D422" s="2" t="str">
        <f>IF(Inventaire!C422="","",Inventaire!C422/Base_de_donnee_articles!G422)</f>
        <v/>
      </c>
      <c r="E422" s="2" t="str">
        <f>IF(B422="","",SUMIFS(Journal_entrees_et_sorties!D$8:D$400,Journal_entrees_et_sorties!C$8:C$400,C422))</f>
        <v/>
      </c>
      <c r="F422" s="2" t="str">
        <f>IF(Inventaire!D422="","",Inventaire!D422)</f>
        <v/>
      </c>
      <c r="G422" s="3" t="str">
        <f t="shared" si="6"/>
        <v/>
      </c>
    </row>
    <row r="423" spans="2:7" x14ac:dyDescent="0.35">
      <c r="B423" s="2" t="str">
        <f>IF(Base_de_donnee_articles!B423="","",Base_de_donnee_articles!B423)</f>
        <v/>
      </c>
      <c r="C423" s="2" t="str">
        <f>IF(Base_de_donnee_articles!C423="","",Base_de_donnee_articles!C423)</f>
        <v/>
      </c>
      <c r="D423" s="2" t="str">
        <f>IF(Inventaire!C423="","",Inventaire!C423/Base_de_donnee_articles!G423)</f>
        <v/>
      </c>
      <c r="E423" s="2" t="str">
        <f>IF(B423="","",SUMIFS(Journal_entrees_et_sorties!D$8:D$400,Journal_entrees_et_sorties!C$8:C$400,C423))</f>
        <v/>
      </c>
      <c r="F423" s="2" t="str">
        <f>IF(Inventaire!D423="","",Inventaire!D423)</f>
        <v/>
      </c>
      <c r="G423" s="3" t="str">
        <f t="shared" si="6"/>
        <v/>
      </c>
    </row>
    <row r="424" spans="2:7" x14ac:dyDescent="0.35">
      <c r="B424" s="2" t="str">
        <f>IF(Base_de_donnee_articles!B424="","",Base_de_donnee_articles!B424)</f>
        <v/>
      </c>
      <c r="C424" s="2" t="str">
        <f>IF(Base_de_donnee_articles!C424="","",Base_de_donnee_articles!C424)</f>
        <v/>
      </c>
      <c r="D424" s="2" t="str">
        <f>IF(Inventaire!C424="","",Inventaire!C424/Base_de_donnee_articles!G424)</f>
        <v/>
      </c>
      <c r="E424" s="2" t="str">
        <f>IF(B424="","",SUMIFS(Journal_entrees_et_sorties!D$8:D$400,Journal_entrees_et_sorties!C$8:C$400,C424))</f>
        <v/>
      </c>
      <c r="F424" s="2" t="str">
        <f>IF(Inventaire!D424="","",Inventaire!D424)</f>
        <v/>
      </c>
      <c r="G424" s="3" t="str">
        <f t="shared" si="6"/>
        <v/>
      </c>
    </row>
    <row r="425" spans="2:7" x14ac:dyDescent="0.35">
      <c r="B425" s="2" t="str">
        <f>IF(Base_de_donnee_articles!B425="","",Base_de_donnee_articles!B425)</f>
        <v/>
      </c>
      <c r="C425" s="2" t="str">
        <f>IF(Base_de_donnee_articles!C425="","",Base_de_donnee_articles!C425)</f>
        <v/>
      </c>
      <c r="D425" s="2" t="str">
        <f>IF(Inventaire!C425="","",Inventaire!C425/Base_de_donnee_articles!G425)</f>
        <v/>
      </c>
      <c r="E425" s="2" t="str">
        <f>IF(B425="","",SUMIFS(Journal_entrees_et_sorties!D$8:D$400,Journal_entrees_et_sorties!C$8:C$400,C425))</f>
        <v/>
      </c>
      <c r="F425" s="2" t="str">
        <f>IF(Inventaire!D425="","",Inventaire!D425)</f>
        <v/>
      </c>
      <c r="G425" s="3" t="str">
        <f t="shared" si="6"/>
        <v/>
      </c>
    </row>
    <row r="426" spans="2:7" x14ac:dyDescent="0.35">
      <c r="B426" s="2" t="str">
        <f>IF(Base_de_donnee_articles!B426="","",Base_de_donnee_articles!B426)</f>
        <v/>
      </c>
      <c r="C426" s="2" t="str">
        <f>IF(Base_de_donnee_articles!C426="","",Base_de_donnee_articles!C426)</f>
        <v/>
      </c>
      <c r="D426" s="2" t="str">
        <f>IF(Inventaire!C426="","",Inventaire!C426/Base_de_donnee_articles!G426)</f>
        <v/>
      </c>
      <c r="E426" s="2" t="str">
        <f>IF(B426="","",SUMIFS(Journal_entrees_et_sorties!D$8:D$400,Journal_entrees_et_sorties!C$8:C$400,C426))</f>
        <v/>
      </c>
      <c r="F426" s="2" t="str">
        <f>IF(Inventaire!D426="","",Inventaire!D426)</f>
        <v/>
      </c>
      <c r="G426" s="3" t="str">
        <f t="shared" si="6"/>
        <v/>
      </c>
    </row>
    <row r="427" spans="2:7" x14ac:dyDescent="0.35">
      <c r="B427" s="2" t="str">
        <f>IF(Base_de_donnee_articles!B427="","",Base_de_donnee_articles!B427)</f>
        <v/>
      </c>
      <c r="C427" s="2" t="str">
        <f>IF(Base_de_donnee_articles!C427="","",Base_de_donnee_articles!C427)</f>
        <v/>
      </c>
      <c r="D427" s="2" t="str">
        <f>IF(Inventaire!C427="","",Inventaire!C427/Base_de_donnee_articles!G427)</f>
        <v/>
      </c>
      <c r="E427" s="2" t="str">
        <f>IF(B427="","",SUMIFS(Journal_entrees_et_sorties!D$8:D$400,Journal_entrees_et_sorties!C$8:C$400,C427))</f>
        <v/>
      </c>
      <c r="F427" s="2" t="str">
        <f>IF(Inventaire!D427="","",Inventaire!D427)</f>
        <v/>
      </c>
      <c r="G427" s="3" t="str">
        <f t="shared" si="6"/>
        <v/>
      </c>
    </row>
    <row r="428" spans="2:7" x14ac:dyDescent="0.35">
      <c r="B428" s="2" t="str">
        <f>IF(Base_de_donnee_articles!B428="","",Base_de_donnee_articles!B428)</f>
        <v/>
      </c>
      <c r="C428" s="2" t="str">
        <f>IF(Base_de_donnee_articles!C428="","",Base_de_donnee_articles!C428)</f>
        <v/>
      </c>
      <c r="D428" s="2" t="str">
        <f>IF(Inventaire!C428="","",Inventaire!C428/Base_de_donnee_articles!G428)</f>
        <v/>
      </c>
      <c r="E428" s="2" t="str">
        <f>IF(B428="","",SUMIFS(Journal_entrees_et_sorties!D$8:D$400,Journal_entrees_et_sorties!C$8:C$400,C428))</f>
        <v/>
      </c>
      <c r="F428" s="2" t="str">
        <f>IF(Inventaire!D428="","",Inventaire!D428)</f>
        <v/>
      </c>
      <c r="G428" s="3" t="str">
        <f t="shared" si="6"/>
        <v/>
      </c>
    </row>
    <row r="429" spans="2:7" x14ac:dyDescent="0.35">
      <c r="B429" s="2" t="str">
        <f>IF(Base_de_donnee_articles!B429="","",Base_de_donnee_articles!B429)</f>
        <v/>
      </c>
      <c r="C429" s="2" t="str">
        <f>IF(Base_de_donnee_articles!C429="","",Base_de_donnee_articles!C429)</f>
        <v/>
      </c>
      <c r="D429" s="2" t="str">
        <f>IF(Inventaire!C429="","",Inventaire!C429/Base_de_donnee_articles!G429)</f>
        <v/>
      </c>
      <c r="E429" s="2" t="str">
        <f>IF(B429="","",SUMIFS(Journal_entrees_et_sorties!D$8:D$400,Journal_entrees_et_sorties!C$8:C$400,C429))</f>
        <v/>
      </c>
      <c r="F429" s="2" t="str">
        <f>IF(Inventaire!D429="","",Inventaire!D429)</f>
        <v/>
      </c>
      <c r="G429" s="3" t="str">
        <f t="shared" si="6"/>
        <v/>
      </c>
    </row>
    <row r="430" spans="2:7" x14ac:dyDescent="0.35">
      <c r="B430" s="2" t="str">
        <f>IF(Base_de_donnee_articles!B430="","",Base_de_donnee_articles!B430)</f>
        <v/>
      </c>
      <c r="C430" s="2" t="str">
        <f>IF(Base_de_donnee_articles!C430="","",Base_de_donnee_articles!C430)</f>
        <v/>
      </c>
      <c r="D430" s="2" t="str">
        <f>IF(Inventaire!C430="","",Inventaire!C430/Base_de_donnee_articles!G430)</f>
        <v/>
      </c>
      <c r="E430" s="2" t="str">
        <f>IF(B430="","",SUMIFS(Journal_entrees_et_sorties!D$8:D$400,Journal_entrees_et_sorties!C$8:C$400,C430))</f>
        <v/>
      </c>
      <c r="F430" s="2" t="str">
        <f>IF(Inventaire!D430="","",Inventaire!D430)</f>
        <v/>
      </c>
      <c r="G430" s="3" t="str">
        <f t="shared" si="6"/>
        <v/>
      </c>
    </row>
    <row r="431" spans="2:7" x14ac:dyDescent="0.35">
      <c r="B431" s="2" t="str">
        <f>IF(Base_de_donnee_articles!B431="","",Base_de_donnee_articles!B431)</f>
        <v/>
      </c>
      <c r="C431" s="2" t="str">
        <f>IF(Base_de_donnee_articles!C431="","",Base_de_donnee_articles!C431)</f>
        <v/>
      </c>
      <c r="D431" s="2" t="str">
        <f>IF(Inventaire!C431="","",Inventaire!C431/Base_de_donnee_articles!G431)</f>
        <v/>
      </c>
      <c r="E431" s="2" t="str">
        <f>IF(B431="","",SUMIFS(Journal_entrees_et_sorties!D$8:D$400,Journal_entrees_et_sorties!C$8:C$400,C431))</f>
        <v/>
      </c>
      <c r="F431" s="2" t="str">
        <f>IF(Inventaire!D431="","",Inventaire!D431)</f>
        <v/>
      </c>
      <c r="G431" s="3" t="str">
        <f t="shared" si="6"/>
        <v/>
      </c>
    </row>
    <row r="432" spans="2:7" x14ac:dyDescent="0.35">
      <c r="B432" s="2" t="str">
        <f>IF(Base_de_donnee_articles!B432="","",Base_de_donnee_articles!B432)</f>
        <v/>
      </c>
      <c r="C432" s="2" t="str">
        <f>IF(Base_de_donnee_articles!C432="","",Base_de_donnee_articles!C432)</f>
        <v/>
      </c>
      <c r="D432" s="2" t="str">
        <f>IF(Inventaire!C432="","",Inventaire!C432/Base_de_donnee_articles!G432)</f>
        <v/>
      </c>
      <c r="E432" s="2" t="str">
        <f>IF(B432="","",SUMIFS(Journal_entrees_et_sorties!D$8:D$400,Journal_entrees_et_sorties!C$8:C$400,C432))</f>
        <v/>
      </c>
      <c r="F432" s="2" t="str">
        <f>IF(Inventaire!D432="","",Inventaire!D432)</f>
        <v/>
      </c>
      <c r="G432" s="3" t="str">
        <f t="shared" si="6"/>
        <v/>
      </c>
    </row>
    <row r="433" spans="2:7" x14ac:dyDescent="0.35">
      <c r="B433" s="2" t="str">
        <f>IF(Base_de_donnee_articles!B433="","",Base_de_donnee_articles!B433)</f>
        <v/>
      </c>
      <c r="C433" s="2" t="str">
        <f>IF(Base_de_donnee_articles!C433="","",Base_de_donnee_articles!C433)</f>
        <v/>
      </c>
      <c r="D433" s="2" t="str">
        <f>IF(Inventaire!C433="","",Inventaire!C433/Base_de_donnee_articles!G433)</f>
        <v/>
      </c>
      <c r="E433" s="2" t="str">
        <f>IF(B433="","",SUMIFS(Journal_entrees_et_sorties!D$8:D$400,Journal_entrees_et_sorties!C$8:C$400,C433))</f>
        <v/>
      </c>
      <c r="F433" s="2" t="str">
        <f>IF(Inventaire!D433="","",Inventaire!D433)</f>
        <v/>
      </c>
      <c r="G433" s="3" t="str">
        <f t="shared" si="6"/>
        <v/>
      </c>
    </row>
    <row r="434" spans="2:7" x14ac:dyDescent="0.35">
      <c r="B434" s="2" t="str">
        <f>IF(Base_de_donnee_articles!B434="","",Base_de_donnee_articles!B434)</f>
        <v/>
      </c>
      <c r="C434" s="2" t="str">
        <f>IF(Base_de_donnee_articles!C434="","",Base_de_donnee_articles!C434)</f>
        <v/>
      </c>
      <c r="D434" s="2" t="str">
        <f>IF(Inventaire!C434="","",Inventaire!C434/Base_de_donnee_articles!G434)</f>
        <v/>
      </c>
      <c r="E434" s="2" t="str">
        <f>IF(B434="","",SUMIFS(Journal_entrees_et_sorties!D$8:D$400,Journal_entrees_et_sorties!C$8:C$400,C434))</f>
        <v/>
      </c>
      <c r="F434" s="2" t="str">
        <f>IF(Inventaire!D434="","",Inventaire!D434)</f>
        <v/>
      </c>
      <c r="G434" s="3" t="str">
        <f t="shared" si="6"/>
        <v/>
      </c>
    </row>
    <row r="435" spans="2:7" x14ac:dyDescent="0.35">
      <c r="B435" s="2" t="str">
        <f>IF(Base_de_donnee_articles!B435="","",Base_de_donnee_articles!B435)</f>
        <v/>
      </c>
      <c r="C435" s="2" t="str">
        <f>IF(Base_de_donnee_articles!C435="","",Base_de_donnee_articles!C435)</f>
        <v/>
      </c>
      <c r="D435" s="2" t="str">
        <f>IF(Inventaire!C435="","",Inventaire!C435/Base_de_donnee_articles!G435)</f>
        <v/>
      </c>
      <c r="E435" s="2" t="str">
        <f>IF(B435="","",SUMIFS(Journal_entrees_et_sorties!D$8:D$400,Journal_entrees_et_sorties!C$8:C$400,C435))</f>
        <v/>
      </c>
      <c r="F435" s="2" t="str">
        <f>IF(Inventaire!D435="","",Inventaire!D435)</f>
        <v/>
      </c>
      <c r="G435" s="3" t="str">
        <f t="shared" si="6"/>
        <v/>
      </c>
    </row>
    <row r="436" spans="2:7" x14ac:dyDescent="0.35">
      <c r="B436" s="2" t="str">
        <f>IF(Base_de_donnee_articles!B436="","",Base_de_donnee_articles!B436)</f>
        <v/>
      </c>
      <c r="C436" s="2" t="str">
        <f>IF(Base_de_donnee_articles!C436="","",Base_de_donnee_articles!C436)</f>
        <v/>
      </c>
      <c r="D436" s="2" t="str">
        <f>IF(Inventaire!C436="","",Inventaire!C436/Base_de_donnee_articles!G436)</f>
        <v/>
      </c>
      <c r="E436" s="2" t="str">
        <f>IF(B436="","",SUMIFS(Journal_entrees_et_sorties!D$8:D$400,Journal_entrees_et_sorties!C$8:C$400,C436))</f>
        <v/>
      </c>
      <c r="F436" s="2" t="str">
        <f>IF(Inventaire!D436="","",Inventaire!D436)</f>
        <v/>
      </c>
      <c r="G436" s="3" t="str">
        <f t="shared" si="6"/>
        <v/>
      </c>
    </row>
    <row r="437" spans="2:7" x14ac:dyDescent="0.35">
      <c r="B437" s="2" t="str">
        <f>IF(Base_de_donnee_articles!B437="","",Base_de_donnee_articles!B437)</f>
        <v/>
      </c>
      <c r="C437" s="2" t="str">
        <f>IF(Base_de_donnee_articles!C437="","",Base_de_donnee_articles!C437)</f>
        <v/>
      </c>
      <c r="D437" s="2" t="str">
        <f>IF(Inventaire!C437="","",Inventaire!C437/Base_de_donnee_articles!G437)</f>
        <v/>
      </c>
      <c r="E437" s="2" t="str">
        <f>IF(B437="","",SUMIFS(Journal_entrees_et_sorties!D$8:D$400,Journal_entrees_et_sorties!C$8:C$400,C437))</f>
        <v/>
      </c>
      <c r="F437" s="2" t="str">
        <f>IF(Inventaire!D437="","",Inventaire!D437)</f>
        <v/>
      </c>
      <c r="G437" s="3" t="str">
        <f t="shared" si="6"/>
        <v/>
      </c>
    </row>
    <row r="438" spans="2:7" x14ac:dyDescent="0.35">
      <c r="B438" s="2" t="str">
        <f>IF(Base_de_donnee_articles!B438="","",Base_de_donnee_articles!B438)</f>
        <v/>
      </c>
      <c r="C438" s="2" t="str">
        <f>IF(Base_de_donnee_articles!C438="","",Base_de_donnee_articles!C438)</f>
        <v/>
      </c>
      <c r="D438" s="2" t="str">
        <f>IF(Inventaire!C438="","",Inventaire!C438/Base_de_donnee_articles!G438)</f>
        <v/>
      </c>
      <c r="E438" s="2" t="str">
        <f>IF(B438="","",SUMIFS(Journal_entrees_et_sorties!D$8:D$400,Journal_entrees_et_sorties!C$8:C$400,C438))</f>
        <v/>
      </c>
      <c r="F438" s="2" t="str">
        <f>IF(Inventaire!D438="","",Inventaire!D438)</f>
        <v/>
      </c>
      <c r="G438" s="3" t="str">
        <f t="shared" si="6"/>
        <v/>
      </c>
    </row>
    <row r="439" spans="2:7" x14ac:dyDescent="0.35">
      <c r="B439" s="2" t="str">
        <f>IF(Base_de_donnee_articles!B439="","",Base_de_donnee_articles!B439)</f>
        <v/>
      </c>
      <c r="C439" s="2" t="str">
        <f>IF(Base_de_donnee_articles!C439="","",Base_de_donnee_articles!C439)</f>
        <v/>
      </c>
      <c r="D439" s="2" t="str">
        <f>IF(Inventaire!C439="","",Inventaire!C439/Base_de_donnee_articles!G439)</f>
        <v/>
      </c>
      <c r="E439" s="2" t="str">
        <f>IF(B439="","",SUMIFS(Journal_entrees_et_sorties!D$8:D$400,Journal_entrees_et_sorties!C$8:C$400,C439))</f>
        <v/>
      </c>
      <c r="F439" s="2" t="str">
        <f>IF(Inventaire!D439="","",Inventaire!D439)</f>
        <v/>
      </c>
      <c r="G439" s="3" t="str">
        <f t="shared" si="6"/>
        <v/>
      </c>
    </row>
    <row r="440" spans="2:7" x14ac:dyDescent="0.35">
      <c r="B440" s="2" t="str">
        <f>IF(Base_de_donnee_articles!B440="","",Base_de_donnee_articles!B440)</f>
        <v/>
      </c>
      <c r="C440" s="2" t="str">
        <f>IF(Base_de_donnee_articles!C440="","",Base_de_donnee_articles!C440)</f>
        <v/>
      </c>
      <c r="D440" s="2" t="str">
        <f>IF(Inventaire!C440="","",Inventaire!C440/Base_de_donnee_articles!G440)</f>
        <v/>
      </c>
      <c r="E440" s="2" t="str">
        <f>IF(B440="","",SUMIFS(Journal_entrees_et_sorties!D$8:D$400,Journal_entrees_et_sorties!C$8:C$400,C440))</f>
        <v/>
      </c>
      <c r="F440" s="2" t="str">
        <f>IF(Inventaire!D440="","",Inventaire!D440)</f>
        <v/>
      </c>
      <c r="G440" s="3" t="str">
        <f t="shared" si="6"/>
        <v/>
      </c>
    </row>
    <row r="441" spans="2:7" x14ac:dyDescent="0.35">
      <c r="B441" s="2" t="str">
        <f>IF(Base_de_donnee_articles!B441="","",Base_de_donnee_articles!B441)</f>
        <v/>
      </c>
      <c r="C441" s="2" t="str">
        <f>IF(Base_de_donnee_articles!C441="","",Base_de_donnee_articles!C441)</f>
        <v/>
      </c>
      <c r="D441" s="2" t="str">
        <f>IF(Inventaire!C441="","",Inventaire!C441/Base_de_donnee_articles!G441)</f>
        <v/>
      </c>
      <c r="E441" s="2" t="str">
        <f>IF(B441="","",SUMIFS(Journal_entrees_et_sorties!D$8:D$400,Journal_entrees_et_sorties!C$8:C$400,C441))</f>
        <v/>
      </c>
      <c r="F441" s="2" t="str">
        <f>IF(Inventaire!D441="","",Inventaire!D441)</f>
        <v/>
      </c>
      <c r="G441" s="3" t="str">
        <f t="shared" si="6"/>
        <v/>
      </c>
    </row>
    <row r="442" spans="2:7" x14ac:dyDescent="0.35">
      <c r="B442" s="2" t="str">
        <f>IF(Base_de_donnee_articles!B442="","",Base_de_donnee_articles!B442)</f>
        <v/>
      </c>
      <c r="C442" s="2" t="str">
        <f>IF(Base_de_donnee_articles!C442="","",Base_de_donnee_articles!C442)</f>
        <v/>
      </c>
      <c r="D442" s="2" t="str">
        <f>IF(Inventaire!C442="","",Inventaire!C442/Base_de_donnee_articles!G442)</f>
        <v/>
      </c>
      <c r="E442" s="2" t="str">
        <f>IF(B442="","",SUMIFS(Journal_entrees_et_sorties!D$8:D$400,Journal_entrees_et_sorties!C$8:C$400,C442))</f>
        <v/>
      </c>
      <c r="F442" s="2" t="str">
        <f>IF(Inventaire!D442="","",Inventaire!D442)</f>
        <v/>
      </c>
      <c r="G442" s="3" t="str">
        <f t="shared" si="6"/>
        <v/>
      </c>
    </row>
    <row r="443" spans="2:7" x14ac:dyDescent="0.35">
      <c r="B443" s="2" t="str">
        <f>IF(Base_de_donnee_articles!B443="","",Base_de_donnee_articles!B443)</f>
        <v/>
      </c>
      <c r="C443" s="2" t="str">
        <f>IF(Base_de_donnee_articles!C443="","",Base_de_donnee_articles!C443)</f>
        <v/>
      </c>
      <c r="D443" s="2" t="str">
        <f>IF(Inventaire!C443="","",Inventaire!C443/Base_de_donnee_articles!G443)</f>
        <v/>
      </c>
      <c r="E443" s="2" t="str">
        <f>IF(B443="","",SUMIFS(Journal_entrees_et_sorties!D$8:D$400,Journal_entrees_et_sorties!C$8:C$400,C443))</f>
        <v/>
      </c>
      <c r="F443" s="2" t="str">
        <f>IF(Inventaire!D443="","",Inventaire!D443)</f>
        <v/>
      </c>
      <c r="G443" s="3" t="str">
        <f t="shared" si="6"/>
        <v/>
      </c>
    </row>
    <row r="444" spans="2:7" x14ac:dyDescent="0.35">
      <c r="B444" s="2" t="str">
        <f>IF(Base_de_donnee_articles!B444="","",Base_de_donnee_articles!B444)</f>
        <v/>
      </c>
      <c r="C444" s="2" t="str">
        <f>IF(Base_de_donnee_articles!C444="","",Base_de_donnee_articles!C444)</f>
        <v/>
      </c>
      <c r="D444" s="2" t="str">
        <f>IF(Inventaire!C444="","",Inventaire!C444/Base_de_donnee_articles!G444)</f>
        <v/>
      </c>
      <c r="E444" s="2" t="str">
        <f>IF(B444="","",SUMIFS(Journal_entrees_et_sorties!D$8:D$400,Journal_entrees_et_sorties!C$8:C$400,C444))</f>
        <v/>
      </c>
      <c r="F444" s="2" t="str">
        <f>IF(Inventaire!D444="","",Inventaire!D444)</f>
        <v/>
      </c>
      <c r="G444" s="3" t="str">
        <f t="shared" si="6"/>
        <v/>
      </c>
    </row>
    <row r="445" spans="2:7" x14ac:dyDescent="0.35">
      <c r="B445" s="2" t="str">
        <f>IF(Base_de_donnee_articles!B445="","",Base_de_donnee_articles!B445)</f>
        <v/>
      </c>
      <c r="C445" s="2" t="str">
        <f>IF(Base_de_donnee_articles!C445="","",Base_de_donnee_articles!C445)</f>
        <v/>
      </c>
      <c r="D445" s="2" t="str">
        <f>IF(Inventaire!C445="","",Inventaire!C445/Base_de_donnee_articles!G445)</f>
        <v/>
      </c>
      <c r="E445" s="2" t="str">
        <f>IF(B445="","",SUMIFS(Journal_entrees_et_sorties!D$8:D$400,Journal_entrees_et_sorties!C$8:C$400,C445))</f>
        <v/>
      </c>
      <c r="F445" s="2" t="str">
        <f>IF(Inventaire!D445="","",Inventaire!D445)</f>
        <v/>
      </c>
      <c r="G445" s="3" t="str">
        <f t="shared" si="6"/>
        <v/>
      </c>
    </row>
    <row r="446" spans="2:7" x14ac:dyDescent="0.35">
      <c r="B446" s="2" t="str">
        <f>IF(Base_de_donnee_articles!B446="","",Base_de_donnee_articles!B446)</f>
        <v/>
      </c>
      <c r="C446" s="2" t="str">
        <f>IF(Base_de_donnee_articles!C446="","",Base_de_donnee_articles!C446)</f>
        <v/>
      </c>
      <c r="D446" s="2" t="str">
        <f>IF(Inventaire!C446="","",Inventaire!C446/Base_de_donnee_articles!G446)</f>
        <v/>
      </c>
      <c r="E446" s="2" t="str">
        <f>IF(B446="","",SUMIFS(Journal_entrees_et_sorties!D$8:D$400,Journal_entrees_et_sorties!C$8:C$400,C446))</f>
        <v/>
      </c>
      <c r="F446" s="2" t="str">
        <f>IF(Inventaire!D446="","",Inventaire!D446)</f>
        <v/>
      </c>
      <c r="G446" s="3" t="str">
        <f t="shared" si="6"/>
        <v/>
      </c>
    </row>
    <row r="447" spans="2:7" x14ac:dyDescent="0.35">
      <c r="B447" s="2" t="str">
        <f>IF(Base_de_donnee_articles!B447="","",Base_de_donnee_articles!B447)</f>
        <v/>
      </c>
      <c r="C447" s="2" t="str">
        <f>IF(Base_de_donnee_articles!C447="","",Base_de_donnee_articles!C447)</f>
        <v/>
      </c>
      <c r="D447" s="2" t="str">
        <f>IF(Inventaire!C447="","",Inventaire!C447/Base_de_donnee_articles!G447)</f>
        <v/>
      </c>
      <c r="E447" s="2" t="str">
        <f>IF(B447="","",SUMIFS(Journal_entrees_et_sorties!D$8:D$400,Journal_entrees_et_sorties!C$8:C$400,C447))</f>
        <v/>
      </c>
      <c r="F447" s="2" t="str">
        <f>IF(Inventaire!D447="","",Inventaire!D447)</f>
        <v/>
      </c>
      <c r="G447" s="3" t="str">
        <f t="shared" si="6"/>
        <v/>
      </c>
    </row>
    <row r="448" spans="2:7" x14ac:dyDescent="0.35">
      <c r="B448" s="2" t="str">
        <f>IF(Base_de_donnee_articles!B448="","",Base_de_donnee_articles!B448)</f>
        <v/>
      </c>
      <c r="C448" s="2" t="str">
        <f>IF(Base_de_donnee_articles!C448="","",Base_de_donnee_articles!C448)</f>
        <v/>
      </c>
      <c r="D448" s="2" t="str">
        <f>IF(Inventaire!C448="","",Inventaire!C448/Base_de_donnee_articles!G448)</f>
        <v/>
      </c>
      <c r="E448" s="2" t="str">
        <f>IF(B448="","",SUMIFS(Journal_entrees_et_sorties!D$8:D$400,Journal_entrees_et_sorties!C$8:C$400,C448))</f>
        <v/>
      </c>
      <c r="F448" s="2" t="str">
        <f>IF(Inventaire!D448="","",Inventaire!D448)</f>
        <v/>
      </c>
      <c r="G448" s="3" t="str">
        <f t="shared" si="6"/>
        <v/>
      </c>
    </row>
    <row r="449" spans="2:7" x14ac:dyDescent="0.35">
      <c r="B449" s="2" t="str">
        <f>IF(Base_de_donnee_articles!B449="","",Base_de_donnee_articles!B449)</f>
        <v/>
      </c>
      <c r="C449" s="2" t="str">
        <f>IF(Base_de_donnee_articles!C449="","",Base_de_donnee_articles!C449)</f>
        <v/>
      </c>
      <c r="D449" s="2" t="str">
        <f>IF(Inventaire!C449="","",Inventaire!C449/Base_de_donnee_articles!G449)</f>
        <v/>
      </c>
      <c r="E449" s="2" t="str">
        <f>IF(B449="","",SUMIFS(Journal_entrees_et_sorties!D$8:D$400,Journal_entrees_et_sorties!C$8:C$400,C449))</f>
        <v/>
      </c>
      <c r="F449" s="2" t="str">
        <f>IF(Inventaire!D449="","",Inventaire!D449)</f>
        <v/>
      </c>
      <c r="G449" s="3" t="str">
        <f t="shared" si="6"/>
        <v/>
      </c>
    </row>
    <row r="450" spans="2:7" x14ac:dyDescent="0.35">
      <c r="B450" s="2" t="str">
        <f>IF(Base_de_donnee_articles!B450="","",Base_de_donnee_articles!B450)</f>
        <v/>
      </c>
      <c r="C450" s="2" t="str">
        <f>IF(Base_de_donnee_articles!C450="","",Base_de_donnee_articles!C450)</f>
        <v/>
      </c>
      <c r="D450" s="2" t="str">
        <f>IF(Inventaire!C450="","",Inventaire!C450/Base_de_donnee_articles!G450)</f>
        <v/>
      </c>
      <c r="E450" s="2" t="str">
        <f>IF(B450="","",SUMIFS(Journal_entrees_et_sorties!D$8:D$400,Journal_entrees_et_sorties!C$8:C$400,C450))</f>
        <v/>
      </c>
      <c r="F450" s="2" t="str">
        <f>IF(Inventaire!D450="","",Inventaire!D450)</f>
        <v/>
      </c>
      <c r="G450" s="3" t="str">
        <f t="shared" si="6"/>
        <v/>
      </c>
    </row>
    <row r="451" spans="2:7" x14ac:dyDescent="0.35">
      <c r="B451" s="2" t="str">
        <f>IF(Base_de_donnee_articles!B451="","",Base_de_donnee_articles!B451)</f>
        <v/>
      </c>
      <c r="C451" s="2" t="str">
        <f>IF(Base_de_donnee_articles!C451="","",Base_de_donnee_articles!C451)</f>
        <v/>
      </c>
      <c r="D451" s="2" t="str">
        <f>IF(Inventaire!C451="","",Inventaire!C451/Base_de_donnee_articles!G451)</f>
        <v/>
      </c>
      <c r="E451" s="2" t="str">
        <f>IF(B451="","",SUMIFS(Journal_entrees_et_sorties!D$8:D$400,Journal_entrees_et_sorties!C$8:C$400,C451))</f>
        <v/>
      </c>
      <c r="F451" s="2" t="str">
        <f>IF(Inventaire!D451="","",Inventaire!D451)</f>
        <v/>
      </c>
      <c r="G451" s="3" t="str">
        <f t="shared" si="6"/>
        <v/>
      </c>
    </row>
    <row r="452" spans="2:7" x14ac:dyDescent="0.35">
      <c r="B452" s="2" t="str">
        <f>IF(Base_de_donnee_articles!B452="","",Base_de_donnee_articles!B452)</f>
        <v/>
      </c>
      <c r="C452" s="2" t="str">
        <f>IF(Base_de_donnee_articles!C452="","",Base_de_donnee_articles!C452)</f>
        <v/>
      </c>
      <c r="D452" s="2" t="str">
        <f>IF(Inventaire!C452="","",Inventaire!C452/Base_de_donnee_articles!G452)</f>
        <v/>
      </c>
      <c r="E452" s="2" t="str">
        <f>IF(B452="","",SUMIFS(Journal_entrees_et_sorties!D$8:D$400,Journal_entrees_et_sorties!C$8:C$400,C452))</f>
        <v/>
      </c>
      <c r="F452" s="2" t="str">
        <f>IF(Inventaire!D452="","",Inventaire!D452)</f>
        <v/>
      </c>
      <c r="G452" s="3" t="str">
        <f t="shared" si="6"/>
        <v/>
      </c>
    </row>
    <row r="453" spans="2:7" x14ac:dyDescent="0.35">
      <c r="B453" s="2" t="str">
        <f>IF(Base_de_donnee_articles!B453="","",Base_de_donnee_articles!B453)</f>
        <v/>
      </c>
      <c r="C453" s="2" t="str">
        <f>IF(Base_de_donnee_articles!C453="","",Base_de_donnee_articles!C453)</f>
        <v/>
      </c>
      <c r="D453" s="2" t="str">
        <f>IF(Inventaire!C453="","",Inventaire!C453/Base_de_donnee_articles!G453)</f>
        <v/>
      </c>
      <c r="E453" s="2" t="str">
        <f>IF(B453="","",SUMIFS(Journal_entrees_et_sorties!D$8:D$400,Journal_entrees_et_sorties!C$8:C$400,C453))</f>
        <v/>
      </c>
      <c r="F453" s="2" t="str">
        <f>IF(Inventaire!D453="","",Inventaire!D453)</f>
        <v/>
      </c>
      <c r="G453" s="3" t="str">
        <f t="shared" si="6"/>
        <v/>
      </c>
    </row>
    <row r="454" spans="2:7" x14ac:dyDescent="0.35">
      <c r="D454" s="2" t="str">
        <f>IF(Inventaire!C454="","",Inventaire!C454/Base_de_donnee_articles!G454)</f>
        <v/>
      </c>
      <c r="E454" s="1" t="str">
        <f>IF(B454="","",SUMIFS(Journal_entrees_et_sorties!D$8:D$400,Journal_entrees_et_sorties!C$8:C$400,C454))</f>
        <v/>
      </c>
      <c r="F454" s="1" t="str">
        <f>IF(C454="","",SUMIFS(Journal_entrees_et_sorties!E$8:E$500,Journal_entrees_et_sorties!C$8:C$500,C454))</f>
        <v/>
      </c>
      <c r="G454" s="3" t="str">
        <f t="shared" si="6"/>
        <v/>
      </c>
    </row>
    <row r="455" spans="2:7" x14ac:dyDescent="0.35">
      <c r="D455" s="2" t="str">
        <f>IF(Inventaire!C455="","",Inventaire!C455/Base_de_donnee_articles!G455)</f>
        <v/>
      </c>
      <c r="E455" s="1" t="str">
        <f>IF(B455="","",SUMIFS(Journal_entrees_et_sorties!D$8:D$400,Journal_entrees_et_sorties!C$8:C$400,C455))</f>
        <v/>
      </c>
      <c r="G455" s="3" t="str">
        <f t="shared" si="6"/>
        <v/>
      </c>
    </row>
    <row r="456" spans="2:7" x14ac:dyDescent="0.35">
      <c r="D456" s="2" t="str">
        <f>IF(Inventaire!C456="","",Inventaire!C456/Base_de_donnee_articles!G456)</f>
        <v/>
      </c>
      <c r="E456" s="1" t="str">
        <f>IF(B456="","",SUMIFS(Journal_entrees_et_sorties!D$8:D$400,Journal_entrees_et_sorties!C$8:C$400,C456))</f>
        <v/>
      </c>
      <c r="G456" s="3" t="str">
        <f t="shared" si="6"/>
        <v/>
      </c>
    </row>
    <row r="457" spans="2:7" x14ac:dyDescent="0.35">
      <c r="D457" s="2" t="str">
        <f>IF(Inventaire!C457="","",Inventaire!C457/Base_de_donnee_articles!G457)</f>
        <v/>
      </c>
      <c r="E457" s="1" t="str">
        <f>IF(B457="","",SUMIFS(Journal_entrees_et_sorties!D$8:D$400,Journal_entrees_et_sorties!C$8:C$400,C457))</f>
        <v/>
      </c>
      <c r="G457" s="3" t="str">
        <f t="shared" ref="G457" si="7">IF(C457="","",D457+E457-F457)</f>
        <v/>
      </c>
    </row>
  </sheetData>
  <dataConsolidate/>
  <mergeCells count="1">
    <mergeCell ref="C2:F3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pageSetUpPr fitToPage="1"/>
  </sheetPr>
  <dimension ref="B3:E501"/>
  <sheetViews>
    <sheetView workbookViewId="0">
      <selection activeCell="E19" sqref="E19"/>
    </sheetView>
  </sheetViews>
  <sheetFormatPr baseColWidth="10" defaultRowHeight="14.5" x14ac:dyDescent="0.35"/>
  <cols>
    <col min="2" max="2" width="13.81640625" customWidth="1"/>
    <col min="3" max="3" width="27.7265625" bestFit="1" customWidth="1"/>
    <col min="5" max="5" width="54.90625" customWidth="1"/>
  </cols>
  <sheetData>
    <row r="3" spans="2:5" x14ac:dyDescent="0.35">
      <c r="B3" s="42" t="s">
        <v>67</v>
      </c>
      <c r="C3" s="42"/>
      <c r="D3" s="42"/>
      <c r="E3" s="43"/>
    </row>
    <row r="7" spans="2:5" x14ac:dyDescent="0.35">
      <c r="B7" s="6" t="s">
        <v>26</v>
      </c>
      <c r="C7" s="6" t="s">
        <v>35</v>
      </c>
      <c r="D7" s="6" t="s">
        <v>10</v>
      </c>
      <c r="E7" s="30" t="s">
        <v>39</v>
      </c>
    </row>
    <row r="8" spans="2:5" x14ac:dyDescent="0.35">
      <c r="B8" s="4" t="s">
        <v>23</v>
      </c>
      <c r="C8" s="4" t="s">
        <v>40</v>
      </c>
      <c r="D8" s="4"/>
      <c r="E8" s="4" t="s">
        <v>60</v>
      </c>
    </row>
    <row r="9" spans="2:5" x14ac:dyDescent="0.35">
      <c r="B9" s="4" t="s">
        <v>23</v>
      </c>
      <c r="C9" s="4" t="s">
        <v>43</v>
      </c>
      <c r="D9" s="4"/>
      <c r="E9" s="4" t="s">
        <v>61</v>
      </c>
    </row>
    <row r="10" spans="2:5" x14ac:dyDescent="0.35">
      <c r="B10" s="4" t="s">
        <v>23</v>
      </c>
      <c r="C10" s="4" t="s">
        <v>51</v>
      </c>
      <c r="D10" s="4"/>
      <c r="E10" s="4" t="s">
        <v>62</v>
      </c>
    </row>
    <row r="11" spans="2:5" x14ac:dyDescent="0.35">
      <c r="B11" s="4" t="s">
        <v>23</v>
      </c>
      <c r="C11" s="4" t="s">
        <v>52</v>
      </c>
      <c r="D11" s="4"/>
      <c r="E11" s="4" t="s">
        <v>62</v>
      </c>
    </row>
    <row r="12" spans="2:5" x14ac:dyDescent="0.35">
      <c r="B12" s="4" t="s">
        <v>24</v>
      </c>
      <c r="C12" s="4" t="s">
        <v>47</v>
      </c>
      <c r="D12" s="4"/>
      <c r="E12" s="4" t="s">
        <v>63</v>
      </c>
    </row>
    <row r="13" spans="2:5" x14ac:dyDescent="0.35">
      <c r="B13" s="4" t="s">
        <v>24</v>
      </c>
      <c r="C13" s="4" t="s">
        <v>49</v>
      </c>
      <c r="D13" s="4"/>
      <c r="E13" s="4" t="s">
        <v>64</v>
      </c>
    </row>
    <row r="14" spans="2:5" x14ac:dyDescent="0.35">
      <c r="B14" s="4" t="s">
        <v>24</v>
      </c>
      <c r="C14" s="4" t="s">
        <v>50</v>
      </c>
      <c r="D14" s="4"/>
      <c r="E14" s="4" t="s">
        <v>65</v>
      </c>
    </row>
    <row r="15" spans="2:5" x14ac:dyDescent="0.35">
      <c r="B15" s="4" t="s">
        <v>28</v>
      </c>
      <c r="C15" s="4" t="s">
        <v>46</v>
      </c>
      <c r="D15" s="4"/>
      <c r="E15" s="4" t="s">
        <v>66</v>
      </c>
    </row>
    <row r="16" spans="2:5" x14ac:dyDescent="0.35">
      <c r="B16" s="4" t="s">
        <v>28</v>
      </c>
      <c r="C16" s="4" t="s">
        <v>48</v>
      </c>
      <c r="D16" s="4"/>
      <c r="E16" s="4" t="s">
        <v>63</v>
      </c>
    </row>
    <row r="17" spans="2:5" x14ac:dyDescent="0.35">
      <c r="B17" s="4"/>
      <c r="C17" s="4"/>
      <c r="D17" s="4"/>
      <c r="E17" s="4"/>
    </row>
    <row r="18" spans="2:5" x14ac:dyDescent="0.35">
      <c r="B18" s="4"/>
      <c r="C18" s="4"/>
      <c r="D18" s="4"/>
      <c r="E18" s="4"/>
    </row>
    <row r="19" spans="2:5" x14ac:dyDescent="0.35">
      <c r="B19" s="4"/>
      <c r="C19" s="4"/>
      <c r="D19" s="4"/>
      <c r="E19" s="4"/>
    </row>
    <row r="20" spans="2:5" x14ac:dyDescent="0.35">
      <c r="B20" s="4"/>
      <c r="C20" s="4"/>
      <c r="D20" s="4"/>
      <c r="E20" s="4"/>
    </row>
    <row r="21" spans="2:5" x14ac:dyDescent="0.35">
      <c r="B21" s="4"/>
      <c r="C21" s="4"/>
      <c r="D21" s="4"/>
      <c r="E21" s="4"/>
    </row>
    <row r="22" spans="2:5" x14ac:dyDescent="0.35">
      <c r="B22" s="4"/>
      <c r="C22" s="4"/>
      <c r="D22" s="4"/>
      <c r="E22" s="4"/>
    </row>
    <row r="23" spans="2:5" x14ac:dyDescent="0.35">
      <c r="B23" s="4"/>
      <c r="C23" s="4"/>
      <c r="D23" s="4"/>
      <c r="E23" s="4"/>
    </row>
    <row r="24" spans="2:5" x14ac:dyDescent="0.35">
      <c r="B24" s="4"/>
      <c r="C24" s="4"/>
      <c r="D24" s="4"/>
      <c r="E24" s="4"/>
    </row>
    <row r="25" spans="2:5" x14ac:dyDescent="0.35">
      <c r="B25" s="4"/>
      <c r="C25" s="4"/>
      <c r="D25" s="4"/>
      <c r="E25" s="4"/>
    </row>
    <row r="26" spans="2:5" x14ac:dyDescent="0.35">
      <c r="B26" s="4"/>
      <c r="C26" s="4"/>
      <c r="D26" s="4"/>
      <c r="E26" s="4"/>
    </row>
    <row r="27" spans="2:5" x14ac:dyDescent="0.35">
      <c r="B27" s="4"/>
      <c r="C27" s="4"/>
      <c r="D27" s="4"/>
      <c r="E27" s="4"/>
    </row>
    <row r="28" spans="2:5" x14ac:dyDescent="0.35">
      <c r="B28" s="4"/>
      <c r="C28" s="4"/>
      <c r="D28" s="4"/>
      <c r="E28" s="4"/>
    </row>
    <row r="29" spans="2:5" x14ac:dyDescent="0.35">
      <c r="B29" s="4"/>
      <c r="C29" s="4"/>
      <c r="D29" s="4"/>
      <c r="E29" s="4"/>
    </row>
    <row r="30" spans="2:5" x14ac:dyDescent="0.35">
      <c r="B30" s="4"/>
      <c r="C30" s="4"/>
      <c r="D30" s="4"/>
      <c r="E30" s="4"/>
    </row>
    <row r="31" spans="2:5" x14ac:dyDescent="0.35">
      <c r="B31" s="4"/>
      <c r="C31" s="4"/>
      <c r="D31" s="4"/>
      <c r="E31" s="4"/>
    </row>
    <row r="32" spans="2:5" x14ac:dyDescent="0.35">
      <c r="B32" s="4"/>
      <c r="C32" s="4"/>
      <c r="D32" s="4"/>
      <c r="E32" s="4"/>
    </row>
    <row r="33" spans="2:5" x14ac:dyDescent="0.35">
      <c r="B33" s="4"/>
      <c r="C33" s="4"/>
      <c r="D33" s="4"/>
      <c r="E33" s="4"/>
    </row>
    <row r="34" spans="2:5" x14ac:dyDescent="0.35">
      <c r="B34" s="4"/>
      <c r="C34" s="4"/>
      <c r="D34" s="4"/>
      <c r="E34" s="4"/>
    </row>
    <row r="35" spans="2:5" x14ac:dyDescent="0.35">
      <c r="B35" s="4"/>
      <c r="C35" s="4"/>
      <c r="D35" s="4"/>
      <c r="E35" s="4"/>
    </row>
    <row r="36" spans="2:5" x14ac:dyDescent="0.35">
      <c r="B36" s="4"/>
      <c r="C36" s="4"/>
      <c r="D36" s="4"/>
      <c r="E36" s="4"/>
    </row>
    <row r="37" spans="2:5" x14ac:dyDescent="0.35">
      <c r="B37" s="4"/>
      <c r="C37" s="4"/>
      <c r="D37" s="4"/>
      <c r="E37" s="4"/>
    </row>
    <row r="38" spans="2:5" x14ac:dyDescent="0.35">
      <c r="B38" s="4"/>
      <c r="C38" s="4"/>
      <c r="D38" s="4"/>
      <c r="E38" s="4"/>
    </row>
    <row r="39" spans="2:5" x14ac:dyDescent="0.35">
      <c r="B39" s="4"/>
      <c r="C39" s="4"/>
      <c r="D39" s="4"/>
      <c r="E39" s="4"/>
    </row>
    <row r="40" spans="2:5" x14ac:dyDescent="0.35">
      <c r="B40" s="4"/>
      <c r="C40" s="4"/>
      <c r="D40" s="4"/>
      <c r="E40" s="4"/>
    </row>
    <row r="41" spans="2:5" x14ac:dyDescent="0.35">
      <c r="B41" s="4"/>
      <c r="C41" s="4"/>
      <c r="D41" s="4"/>
      <c r="E41" s="4"/>
    </row>
    <row r="42" spans="2:5" x14ac:dyDescent="0.35">
      <c r="B42" s="4"/>
      <c r="C42" s="4"/>
      <c r="D42" s="4"/>
      <c r="E42" s="4"/>
    </row>
    <row r="43" spans="2:5" x14ac:dyDescent="0.35">
      <c r="B43" s="4"/>
      <c r="C43" s="4"/>
      <c r="D43" s="4"/>
      <c r="E43" s="4"/>
    </row>
    <row r="44" spans="2:5" x14ac:dyDescent="0.35">
      <c r="B44" s="4"/>
      <c r="C44" s="4"/>
      <c r="D44" s="4"/>
      <c r="E44" s="4"/>
    </row>
    <row r="45" spans="2:5" x14ac:dyDescent="0.35">
      <c r="B45" s="4"/>
      <c r="C45" s="4"/>
      <c r="D45" s="4"/>
      <c r="E45" s="4"/>
    </row>
    <row r="46" spans="2:5" x14ac:dyDescent="0.35">
      <c r="B46" s="4"/>
      <c r="C46" s="4"/>
      <c r="D46" s="4"/>
      <c r="E46" s="4"/>
    </row>
    <row r="47" spans="2:5" x14ac:dyDescent="0.35">
      <c r="B47" s="4"/>
      <c r="C47" s="4"/>
      <c r="D47" s="4"/>
      <c r="E47" s="4"/>
    </row>
    <row r="48" spans="2:5" x14ac:dyDescent="0.35">
      <c r="B48" s="4"/>
      <c r="C48" s="4"/>
      <c r="D48" s="4"/>
      <c r="E48" s="4"/>
    </row>
    <row r="49" spans="2:5" x14ac:dyDescent="0.35">
      <c r="B49" s="4"/>
      <c r="C49" s="4"/>
      <c r="D49" s="4"/>
      <c r="E49" s="4"/>
    </row>
    <row r="50" spans="2:5" x14ac:dyDescent="0.35">
      <c r="B50" s="4"/>
      <c r="C50" s="4"/>
      <c r="D50" s="4"/>
      <c r="E50" s="4"/>
    </row>
    <row r="51" spans="2:5" x14ac:dyDescent="0.35">
      <c r="B51" s="4"/>
      <c r="C51" s="4"/>
      <c r="D51" s="4"/>
      <c r="E51" s="4"/>
    </row>
    <row r="52" spans="2:5" x14ac:dyDescent="0.35">
      <c r="B52" s="4"/>
      <c r="C52" s="4"/>
      <c r="D52" s="4"/>
      <c r="E52" s="4"/>
    </row>
    <row r="53" spans="2:5" x14ac:dyDescent="0.35">
      <c r="B53" s="4"/>
      <c r="C53" s="4"/>
      <c r="D53" s="4"/>
      <c r="E53" s="4"/>
    </row>
    <row r="54" spans="2:5" x14ac:dyDescent="0.35">
      <c r="B54" s="4"/>
      <c r="C54" s="4"/>
      <c r="D54" s="4"/>
      <c r="E54" s="4"/>
    </row>
    <row r="55" spans="2:5" x14ac:dyDescent="0.35">
      <c r="B55" s="4"/>
      <c r="C55" s="4"/>
      <c r="D55" s="4"/>
      <c r="E55" s="4"/>
    </row>
    <row r="56" spans="2:5" x14ac:dyDescent="0.35">
      <c r="B56" s="4"/>
      <c r="C56" s="4"/>
      <c r="D56" s="4"/>
      <c r="E56" s="4"/>
    </row>
    <row r="57" spans="2:5" x14ac:dyDescent="0.35">
      <c r="B57" s="4"/>
      <c r="C57" s="4"/>
      <c r="D57" s="4"/>
      <c r="E57" s="4"/>
    </row>
    <row r="58" spans="2:5" x14ac:dyDescent="0.35">
      <c r="B58" s="4"/>
      <c r="C58" s="4"/>
      <c r="D58" s="4"/>
      <c r="E58" s="4"/>
    </row>
    <row r="59" spans="2:5" x14ac:dyDescent="0.35">
      <c r="B59" s="4"/>
      <c r="C59" s="4"/>
      <c r="D59" s="4"/>
      <c r="E59" s="4"/>
    </row>
    <row r="60" spans="2:5" x14ac:dyDescent="0.35">
      <c r="B60" s="4"/>
      <c r="C60" s="4"/>
      <c r="D60" s="4"/>
      <c r="E60" s="4"/>
    </row>
    <row r="61" spans="2:5" x14ac:dyDescent="0.35">
      <c r="B61" s="4"/>
      <c r="C61" s="4"/>
      <c r="D61" s="4"/>
      <c r="E61" s="4"/>
    </row>
    <row r="62" spans="2:5" x14ac:dyDescent="0.35">
      <c r="B62" s="4"/>
      <c r="C62" s="4"/>
      <c r="D62" s="4"/>
      <c r="E62" s="4"/>
    </row>
    <row r="63" spans="2:5" x14ac:dyDescent="0.35">
      <c r="B63" s="4"/>
      <c r="C63" s="4"/>
      <c r="D63" s="4"/>
      <c r="E63" s="4"/>
    </row>
    <row r="64" spans="2:5" x14ac:dyDescent="0.35">
      <c r="B64" s="4"/>
      <c r="C64" s="4"/>
      <c r="D64" s="4"/>
      <c r="E64" s="4"/>
    </row>
    <row r="65" spans="2:5" x14ac:dyDescent="0.35">
      <c r="B65" s="4"/>
      <c r="C65" s="4"/>
      <c r="D65" s="4"/>
      <c r="E65" s="4"/>
    </row>
    <row r="66" spans="2:5" x14ac:dyDescent="0.35">
      <c r="B66" s="4"/>
      <c r="C66" s="4"/>
      <c r="D66" s="4"/>
      <c r="E66" s="4"/>
    </row>
    <row r="67" spans="2:5" x14ac:dyDescent="0.35">
      <c r="B67" s="4"/>
      <c r="C67" s="4"/>
      <c r="D67" s="4"/>
      <c r="E67" s="4"/>
    </row>
    <row r="68" spans="2:5" x14ac:dyDescent="0.35">
      <c r="B68" s="4"/>
      <c r="C68" s="4"/>
      <c r="D68" s="4"/>
      <c r="E68" s="4"/>
    </row>
    <row r="69" spans="2:5" x14ac:dyDescent="0.35">
      <c r="B69" s="4"/>
      <c r="C69" s="4"/>
      <c r="D69" s="4"/>
      <c r="E69" s="4"/>
    </row>
    <row r="70" spans="2:5" x14ac:dyDescent="0.35">
      <c r="B70" s="4"/>
      <c r="C70" s="4"/>
      <c r="D70" s="4"/>
      <c r="E70" s="4"/>
    </row>
    <row r="71" spans="2:5" x14ac:dyDescent="0.35">
      <c r="B71" s="4"/>
      <c r="C71" s="4"/>
      <c r="D71" s="4"/>
      <c r="E71" s="4"/>
    </row>
    <row r="72" spans="2:5" x14ac:dyDescent="0.35">
      <c r="B72" s="4"/>
      <c r="C72" s="4"/>
      <c r="D72" s="4"/>
      <c r="E72" s="4"/>
    </row>
    <row r="73" spans="2:5" x14ac:dyDescent="0.35">
      <c r="B73" s="4"/>
      <c r="C73" s="4"/>
      <c r="D73" s="4"/>
      <c r="E73" s="4"/>
    </row>
    <row r="74" spans="2:5" x14ac:dyDescent="0.35">
      <c r="B74" s="4"/>
      <c r="C74" s="4"/>
      <c r="D74" s="4"/>
      <c r="E74" s="4"/>
    </row>
    <row r="75" spans="2:5" x14ac:dyDescent="0.35">
      <c r="B75" s="4"/>
      <c r="C75" s="4"/>
      <c r="D75" s="4"/>
      <c r="E75" s="4"/>
    </row>
    <row r="76" spans="2:5" x14ac:dyDescent="0.35">
      <c r="B76" s="4"/>
      <c r="C76" s="4"/>
      <c r="D76" s="4"/>
      <c r="E76" s="4"/>
    </row>
    <row r="77" spans="2:5" x14ac:dyDescent="0.35">
      <c r="B77" s="4"/>
      <c r="C77" s="4"/>
      <c r="D77" s="4"/>
      <c r="E77" s="4"/>
    </row>
    <row r="78" spans="2:5" x14ac:dyDescent="0.35">
      <c r="B78" s="4"/>
      <c r="C78" s="4"/>
      <c r="D78" s="4"/>
      <c r="E78" s="4"/>
    </row>
    <row r="79" spans="2:5" x14ac:dyDescent="0.35">
      <c r="B79" s="4"/>
      <c r="C79" s="4"/>
      <c r="D79" s="4"/>
      <c r="E79" s="4"/>
    </row>
    <row r="80" spans="2:5" x14ac:dyDescent="0.35">
      <c r="B80" s="4"/>
      <c r="C80" s="4"/>
      <c r="D80" s="4"/>
      <c r="E80" s="4"/>
    </row>
    <row r="81" spans="2:5" x14ac:dyDescent="0.35">
      <c r="B81" s="4"/>
      <c r="C81" s="4"/>
      <c r="D81" s="4"/>
      <c r="E81" s="4"/>
    </row>
    <row r="82" spans="2:5" x14ac:dyDescent="0.35">
      <c r="B82" s="4"/>
      <c r="C82" s="4"/>
      <c r="D82" s="4"/>
      <c r="E82" s="4"/>
    </row>
    <row r="83" spans="2:5" x14ac:dyDescent="0.35">
      <c r="B83" s="4"/>
      <c r="C83" s="4"/>
      <c r="D83" s="4"/>
      <c r="E83" s="4"/>
    </row>
    <row r="84" spans="2:5" x14ac:dyDescent="0.35">
      <c r="B84" s="4"/>
      <c r="C84" s="4"/>
      <c r="D84" s="4"/>
      <c r="E84" s="4"/>
    </row>
    <row r="85" spans="2:5" x14ac:dyDescent="0.35">
      <c r="B85" s="4"/>
      <c r="C85" s="4"/>
      <c r="D85" s="4"/>
      <c r="E85" s="4"/>
    </row>
    <row r="86" spans="2:5" x14ac:dyDescent="0.35">
      <c r="B86" s="4"/>
      <c r="C86" s="4"/>
      <c r="D86" s="4"/>
      <c r="E86" s="4"/>
    </row>
    <row r="87" spans="2:5" x14ac:dyDescent="0.35">
      <c r="B87" s="4"/>
      <c r="C87" s="4"/>
      <c r="D87" s="4"/>
      <c r="E87" s="4"/>
    </row>
    <row r="88" spans="2:5" x14ac:dyDescent="0.35">
      <c r="B88" s="4"/>
      <c r="C88" s="4"/>
      <c r="D88" s="4"/>
      <c r="E88" s="4"/>
    </row>
    <row r="89" spans="2:5" x14ac:dyDescent="0.35">
      <c r="B89" s="4"/>
      <c r="C89" s="4"/>
      <c r="D89" s="4"/>
      <c r="E89" s="4"/>
    </row>
    <row r="90" spans="2:5" x14ac:dyDescent="0.35">
      <c r="B90" s="4"/>
      <c r="C90" s="4"/>
      <c r="D90" s="4"/>
      <c r="E90" s="4"/>
    </row>
    <row r="91" spans="2:5" x14ac:dyDescent="0.35">
      <c r="B91" s="4"/>
      <c r="C91" s="4"/>
      <c r="D91" s="4"/>
      <c r="E91" s="4"/>
    </row>
    <row r="92" spans="2:5" x14ac:dyDescent="0.35">
      <c r="B92" s="4"/>
      <c r="C92" s="4"/>
      <c r="D92" s="4"/>
      <c r="E92" s="4"/>
    </row>
    <row r="93" spans="2:5" x14ac:dyDescent="0.35">
      <c r="B93" s="4"/>
      <c r="C93" s="4"/>
      <c r="D93" s="4"/>
      <c r="E93" s="4"/>
    </row>
    <row r="94" spans="2:5" x14ac:dyDescent="0.35">
      <c r="B94" s="4"/>
      <c r="C94" s="4"/>
      <c r="D94" s="4"/>
      <c r="E94" s="4"/>
    </row>
    <row r="95" spans="2:5" x14ac:dyDescent="0.35">
      <c r="B95" s="4"/>
      <c r="C95" s="4"/>
      <c r="D95" s="4"/>
      <c r="E95" s="4"/>
    </row>
    <row r="96" spans="2:5" x14ac:dyDescent="0.35">
      <c r="B96" s="4"/>
      <c r="C96" s="4"/>
      <c r="D96" s="4"/>
      <c r="E96" s="4"/>
    </row>
    <row r="97" spans="2:5" x14ac:dyDescent="0.35">
      <c r="B97" s="4"/>
      <c r="C97" s="4"/>
      <c r="D97" s="4"/>
      <c r="E97" s="4"/>
    </row>
    <row r="98" spans="2:5" x14ac:dyDescent="0.35">
      <c r="B98" s="4"/>
      <c r="C98" s="4"/>
      <c r="D98" s="4"/>
      <c r="E98" s="4"/>
    </row>
    <row r="99" spans="2:5" x14ac:dyDescent="0.35">
      <c r="B99" s="4"/>
      <c r="C99" s="4"/>
      <c r="D99" s="4"/>
      <c r="E99" s="4"/>
    </row>
    <row r="100" spans="2:5" x14ac:dyDescent="0.35">
      <c r="B100" s="4"/>
      <c r="C100" s="4"/>
      <c r="D100" s="4"/>
      <c r="E100" s="4"/>
    </row>
    <row r="101" spans="2:5" x14ac:dyDescent="0.35">
      <c r="B101" s="4"/>
      <c r="C101" s="4"/>
      <c r="D101" s="4"/>
      <c r="E101" s="4"/>
    </row>
    <row r="102" spans="2:5" x14ac:dyDescent="0.35">
      <c r="B102" s="4"/>
      <c r="C102" s="4"/>
      <c r="D102" s="4"/>
      <c r="E102" s="4"/>
    </row>
    <row r="103" spans="2:5" x14ac:dyDescent="0.35">
      <c r="B103" s="4"/>
      <c r="C103" s="4"/>
      <c r="D103" s="4"/>
      <c r="E103" s="4"/>
    </row>
    <row r="104" spans="2:5" x14ac:dyDescent="0.35">
      <c r="B104" s="4"/>
      <c r="C104" s="4"/>
      <c r="D104" s="4"/>
      <c r="E104" s="4"/>
    </row>
    <row r="105" spans="2:5" x14ac:dyDescent="0.35">
      <c r="B105" s="4"/>
      <c r="C105" s="4"/>
      <c r="D105" s="4"/>
      <c r="E105" s="4"/>
    </row>
    <row r="106" spans="2:5" x14ac:dyDescent="0.35">
      <c r="B106" s="4"/>
      <c r="C106" s="4"/>
      <c r="D106" s="4"/>
      <c r="E106" s="4"/>
    </row>
    <row r="107" spans="2:5" x14ac:dyDescent="0.35">
      <c r="B107" s="4"/>
      <c r="C107" s="4"/>
      <c r="D107" s="4"/>
      <c r="E107" s="4"/>
    </row>
    <row r="108" spans="2:5" x14ac:dyDescent="0.35">
      <c r="B108" s="4"/>
      <c r="C108" s="4"/>
      <c r="D108" s="4"/>
      <c r="E108" s="4"/>
    </row>
    <row r="109" spans="2:5" x14ac:dyDescent="0.35">
      <c r="B109" s="4"/>
      <c r="C109" s="4"/>
      <c r="D109" s="4"/>
      <c r="E109" s="4"/>
    </row>
    <row r="110" spans="2:5" x14ac:dyDescent="0.35">
      <c r="B110" s="4"/>
      <c r="C110" s="4"/>
      <c r="D110" s="4"/>
      <c r="E110" s="4"/>
    </row>
    <row r="111" spans="2:5" x14ac:dyDescent="0.35">
      <c r="B111" s="4"/>
      <c r="C111" s="4"/>
      <c r="D111" s="4"/>
      <c r="E111" s="4"/>
    </row>
    <row r="112" spans="2:5" x14ac:dyDescent="0.35">
      <c r="B112" s="4"/>
      <c r="C112" s="4"/>
      <c r="D112" s="4"/>
      <c r="E112" s="4"/>
    </row>
    <row r="113" spans="2:5" x14ac:dyDescent="0.35">
      <c r="B113" s="4"/>
      <c r="C113" s="4"/>
      <c r="D113" s="4"/>
      <c r="E113" s="4"/>
    </row>
    <row r="114" spans="2:5" x14ac:dyDescent="0.35">
      <c r="B114" s="4"/>
      <c r="C114" s="4"/>
      <c r="D114" s="4"/>
      <c r="E114" s="4"/>
    </row>
    <row r="115" spans="2:5" x14ac:dyDescent="0.35">
      <c r="B115" s="4"/>
      <c r="C115" s="4"/>
      <c r="D115" s="4"/>
      <c r="E115" s="4"/>
    </row>
    <row r="116" spans="2:5" x14ac:dyDescent="0.35">
      <c r="B116" s="4"/>
      <c r="C116" s="4"/>
      <c r="D116" s="4"/>
      <c r="E116" s="4"/>
    </row>
    <row r="117" spans="2:5" x14ac:dyDescent="0.35">
      <c r="B117" s="4"/>
      <c r="C117" s="4"/>
      <c r="D117" s="4"/>
      <c r="E117" s="4"/>
    </row>
    <row r="118" spans="2:5" x14ac:dyDescent="0.35">
      <c r="B118" s="4"/>
      <c r="C118" s="4"/>
      <c r="D118" s="4"/>
      <c r="E118" s="4"/>
    </row>
    <row r="119" spans="2:5" x14ac:dyDescent="0.35">
      <c r="B119" s="4"/>
      <c r="C119" s="4"/>
      <c r="D119" s="4"/>
      <c r="E119" s="4"/>
    </row>
    <row r="120" spans="2:5" x14ac:dyDescent="0.35">
      <c r="B120" s="4"/>
      <c r="C120" s="4"/>
      <c r="D120" s="4"/>
      <c r="E120" s="4"/>
    </row>
    <row r="121" spans="2:5" x14ac:dyDescent="0.35">
      <c r="B121" s="4"/>
      <c r="C121" s="4"/>
      <c r="D121" s="4"/>
      <c r="E121" s="4"/>
    </row>
    <row r="122" spans="2:5" x14ac:dyDescent="0.35">
      <c r="B122" s="4"/>
      <c r="C122" s="4"/>
      <c r="D122" s="4"/>
      <c r="E122" s="4"/>
    </row>
    <row r="123" spans="2:5" x14ac:dyDescent="0.35">
      <c r="B123" s="4"/>
      <c r="C123" s="4"/>
      <c r="D123" s="4"/>
      <c r="E123" s="4"/>
    </row>
    <row r="124" spans="2:5" x14ac:dyDescent="0.35">
      <c r="B124" s="4"/>
      <c r="C124" s="4"/>
      <c r="D124" s="4"/>
      <c r="E124" s="4"/>
    </row>
    <row r="125" spans="2:5" x14ac:dyDescent="0.35">
      <c r="B125" s="4"/>
      <c r="C125" s="4"/>
      <c r="D125" s="4"/>
      <c r="E125" s="4"/>
    </row>
    <row r="126" spans="2:5" x14ac:dyDescent="0.35">
      <c r="B126" s="4"/>
      <c r="C126" s="4"/>
      <c r="D126" s="4"/>
      <c r="E126" s="4"/>
    </row>
    <row r="127" spans="2:5" x14ac:dyDescent="0.35">
      <c r="B127" s="4"/>
      <c r="C127" s="4"/>
      <c r="D127" s="4"/>
      <c r="E127" s="4"/>
    </row>
    <row r="128" spans="2:5" x14ac:dyDescent="0.35">
      <c r="B128" s="4"/>
      <c r="C128" s="4"/>
      <c r="D128" s="4"/>
      <c r="E128" s="4"/>
    </row>
    <row r="129" spans="2:5" x14ac:dyDescent="0.35">
      <c r="B129" s="4"/>
      <c r="C129" s="4"/>
      <c r="D129" s="4"/>
      <c r="E129" s="4"/>
    </row>
    <row r="130" spans="2:5" x14ac:dyDescent="0.35">
      <c r="B130" s="4"/>
      <c r="C130" s="4"/>
      <c r="D130" s="4"/>
      <c r="E130" s="4"/>
    </row>
    <row r="131" spans="2:5" x14ac:dyDescent="0.35">
      <c r="B131" s="4"/>
      <c r="C131" s="4"/>
      <c r="D131" s="4"/>
      <c r="E131" s="4"/>
    </row>
    <row r="132" spans="2:5" x14ac:dyDescent="0.35">
      <c r="B132" s="4"/>
      <c r="C132" s="4"/>
      <c r="D132" s="4"/>
      <c r="E132" s="4"/>
    </row>
    <row r="133" spans="2:5" x14ac:dyDescent="0.35">
      <c r="B133" s="4"/>
      <c r="C133" s="4"/>
      <c r="D133" s="4"/>
      <c r="E133" s="4"/>
    </row>
    <row r="134" spans="2:5" x14ac:dyDescent="0.35">
      <c r="B134" s="4"/>
      <c r="C134" s="4"/>
      <c r="D134" s="4"/>
      <c r="E134" s="4"/>
    </row>
    <row r="135" spans="2:5" x14ac:dyDescent="0.35">
      <c r="B135" s="4"/>
      <c r="C135" s="4"/>
      <c r="D135" s="4"/>
      <c r="E135" s="4"/>
    </row>
    <row r="136" spans="2:5" x14ac:dyDescent="0.35">
      <c r="B136" s="4"/>
      <c r="C136" s="4"/>
      <c r="D136" s="4"/>
      <c r="E136" s="4"/>
    </row>
    <row r="137" spans="2:5" x14ac:dyDescent="0.35">
      <c r="B137" s="4"/>
      <c r="C137" s="4"/>
      <c r="D137" s="4"/>
      <c r="E137" s="4"/>
    </row>
    <row r="138" spans="2:5" x14ac:dyDescent="0.35">
      <c r="B138" s="4"/>
      <c r="C138" s="4"/>
      <c r="D138" s="4"/>
      <c r="E138" s="4"/>
    </row>
    <row r="139" spans="2:5" x14ac:dyDescent="0.35">
      <c r="B139" s="4"/>
      <c r="C139" s="4"/>
      <c r="D139" s="4"/>
      <c r="E139" s="4"/>
    </row>
    <row r="140" spans="2:5" x14ac:dyDescent="0.35">
      <c r="B140" s="4"/>
      <c r="C140" s="4"/>
      <c r="D140" s="4"/>
      <c r="E140" s="4"/>
    </row>
    <row r="141" spans="2:5" x14ac:dyDescent="0.35">
      <c r="B141" s="4"/>
      <c r="C141" s="4"/>
      <c r="D141" s="4"/>
      <c r="E141" s="4"/>
    </row>
    <row r="142" spans="2:5" x14ac:dyDescent="0.35">
      <c r="B142" s="4"/>
      <c r="C142" s="4"/>
      <c r="D142" s="4"/>
      <c r="E142" s="4"/>
    </row>
    <row r="143" spans="2:5" x14ac:dyDescent="0.35">
      <c r="B143" s="4"/>
      <c r="C143" s="4"/>
      <c r="D143" s="4"/>
      <c r="E143" s="4"/>
    </row>
    <row r="144" spans="2:5" x14ac:dyDescent="0.35">
      <c r="B144" s="4"/>
      <c r="C144" s="4"/>
      <c r="D144" s="4"/>
      <c r="E144" s="4"/>
    </row>
    <row r="145" spans="2:5" x14ac:dyDescent="0.35">
      <c r="B145" s="4"/>
      <c r="C145" s="4"/>
      <c r="D145" s="4"/>
      <c r="E145" s="4"/>
    </row>
    <row r="146" spans="2:5" x14ac:dyDescent="0.35">
      <c r="B146" s="4"/>
      <c r="C146" s="4"/>
      <c r="D146" s="4"/>
      <c r="E146" s="4"/>
    </row>
    <row r="147" spans="2:5" x14ac:dyDescent="0.35">
      <c r="B147" s="4"/>
      <c r="C147" s="4"/>
      <c r="D147" s="4"/>
      <c r="E147" s="4"/>
    </row>
    <row r="148" spans="2:5" x14ac:dyDescent="0.35">
      <c r="B148" s="4"/>
      <c r="C148" s="4"/>
      <c r="D148" s="4"/>
      <c r="E148" s="4"/>
    </row>
    <row r="149" spans="2:5" x14ac:dyDescent="0.35">
      <c r="B149" s="4"/>
      <c r="C149" s="4"/>
      <c r="D149" s="4"/>
      <c r="E149" s="4"/>
    </row>
    <row r="150" spans="2:5" x14ac:dyDescent="0.35">
      <c r="B150" s="4"/>
      <c r="C150" s="4"/>
      <c r="D150" s="4"/>
      <c r="E150" s="4"/>
    </row>
    <row r="151" spans="2:5" x14ac:dyDescent="0.35">
      <c r="B151" s="4"/>
      <c r="C151" s="4"/>
      <c r="D151" s="4"/>
      <c r="E151" s="4"/>
    </row>
    <row r="152" spans="2:5" x14ac:dyDescent="0.35">
      <c r="B152" s="4"/>
      <c r="C152" s="4"/>
      <c r="D152" s="4"/>
      <c r="E152" s="4"/>
    </row>
    <row r="153" spans="2:5" x14ac:dyDescent="0.35">
      <c r="B153" s="4"/>
      <c r="C153" s="4"/>
      <c r="D153" s="4"/>
      <c r="E153" s="4"/>
    </row>
    <row r="154" spans="2:5" x14ac:dyDescent="0.35">
      <c r="B154" s="4"/>
      <c r="C154" s="4"/>
      <c r="D154" s="4"/>
      <c r="E154" s="4"/>
    </row>
    <row r="155" spans="2:5" x14ac:dyDescent="0.35">
      <c r="B155" s="4"/>
      <c r="C155" s="4"/>
      <c r="D155" s="4"/>
      <c r="E155" s="4"/>
    </row>
    <row r="156" spans="2:5" x14ac:dyDescent="0.35">
      <c r="B156" s="4"/>
      <c r="C156" s="4"/>
      <c r="D156" s="4"/>
      <c r="E156" s="4"/>
    </row>
    <row r="157" spans="2:5" x14ac:dyDescent="0.35">
      <c r="B157" s="4"/>
      <c r="C157" s="4"/>
      <c r="D157" s="4"/>
      <c r="E157" s="4"/>
    </row>
    <row r="158" spans="2:5" x14ac:dyDescent="0.35">
      <c r="B158" s="4"/>
      <c r="C158" s="4"/>
      <c r="D158" s="4"/>
      <c r="E158" s="4"/>
    </row>
    <row r="159" spans="2:5" x14ac:dyDescent="0.35">
      <c r="B159" s="4"/>
      <c r="C159" s="4"/>
      <c r="D159" s="4"/>
      <c r="E159" s="4"/>
    </row>
    <row r="160" spans="2:5" x14ac:dyDescent="0.35">
      <c r="B160" s="4"/>
      <c r="C160" s="4"/>
      <c r="D160" s="4"/>
      <c r="E160" s="4"/>
    </row>
    <row r="161" spans="2:5" x14ac:dyDescent="0.35">
      <c r="B161" s="4"/>
      <c r="C161" s="4"/>
      <c r="D161" s="4"/>
      <c r="E161" s="4"/>
    </row>
    <row r="162" spans="2:5" x14ac:dyDescent="0.35">
      <c r="B162" s="4"/>
      <c r="C162" s="4"/>
      <c r="D162" s="4"/>
      <c r="E162" s="4"/>
    </row>
    <row r="163" spans="2:5" x14ac:dyDescent="0.35">
      <c r="B163" s="4"/>
      <c r="C163" s="4"/>
      <c r="D163" s="4"/>
      <c r="E163" s="4"/>
    </row>
    <row r="164" spans="2:5" x14ac:dyDescent="0.35">
      <c r="B164" s="4"/>
      <c r="C164" s="4"/>
      <c r="D164" s="4"/>
      <c r="E164" s="4"/>
    </row>
    <row r="165" spans="2:5" x14ac:dyDescent="0.35">
      <c r="B165" s="4"/>
      <c r="C165" s="4"/>
      <c r="D165" s="4"/>
      <c r="E165" s="4"/>
    </row>
    <row r="166" spans="2:5" x14ac:dyDescent="0.35">
      <c r="B166" s="4"/>
      <c r="C166" s="4"/>
      <c r="D166" s="4"/>
      <c r="E166" s="4"/>
    </row>
    <row r="167" spans="2:5" x14ac:dyDescent="0.35">
      <c r="B167" s="4"/>
      <c r="C167" s="4"/>
      <c r="D167" s="4"/>
      <c r="E167" s="4"/>
    </row>
    <row r="168" spans="2:5" x14ac:dyDescent="0.35">
      <c r="B168" s="4"/>
      <c r="C168" s="4"/>
      <c r="D168" s="4"/>
      <c r="E168" s="4"/>
    </row>
    <row r="169" spans="2:5" x14ac:dyDescent="0.35">
      <c r="B169" s="4"/>
      <c r="C169" s="4"/>
      <c r="D169" s="4"/>
      <c r="E169" s="4"/>
    </row>
    <row r="170" spans="2:5" x14ac:dyDescent="0.35">
      <c r="B170" s="4"/>
      <c r="C170" s="4"/>
      <c r="D170" s="4"/>
      <c r="E170" s="4"/>
    </row>
    <row r="171" spans="2:5" x14ac:dyDescent="0.35">
      <c r="B171" s="4"/>
      <c r="C171" s="4"/>
      <c r="D171" s="4"/>
      <c r="E171" s="4"/>
    </row>
    <row r="172" spans="2:5" x14ac:dyDescent="0.35">
      <c r="B172" s="4"/>
      <c r="C172" s="4"/>
      <c r="D172" s="4"/>
      <c r="E172" s="4"/>
    </row>
    <row r="173" spans="2:5" x14ac:dyDescent="0.35">
      <c r="B173" s="4"/>
      <c r="C173" s="4"/>
      <c r="D173" s="4"/>
      <c r="E173" s="4"/>
    </row>
    <row r="174" spans="2:5" x14ac:dyDescent="0.35">
      <c r="B174" s="4"/>
      <c r="C174" s="4"/>
      <c r="D174" s="4"/>
      <c r="E174" s="4"/>
    </row>
    <row r="175" spans="2:5" x14ac:dyDescent="0.35">
      <c r="B175" s="4"/>
      <c r="C175" s="4"/>
      <c r="D175" s="4"/>
      <c r="E175" s="4"/>
    </row>
    <row r="176" spans="2:5" x14ac:dyDescent="0.35">
      <c r="B176" s="4"/>
      <c r="C176" s="4"/>
      <c r="D176" s="4"/>
      <c r="E176" s="4"/>
    </row>
    <row r="177" spans="2:5" x14ac:dyDescent="0.35">
      <c r="B177" s="4"/>
      <c r="C177" s="4"/>
      <c r="D177" s="4"/>
      <c r="E177" s="4"/>
    </row>
    <row r="178" spans="2:5" x14ac:dyDescent="0.35">
      <c r="B178" s="4"/>
      <c r="C178" s="4"/>
      <c r="D178" s="4"/>
      <c r="E178" s="4"/>
    </row>
    <row r="179" spans="2:5" x14ac:dyDescent="0.35">
      <c r="B179" s="4"/>
      <c r="C179" s="4"/>
      <c r="D179" s="4"/>
      <c r="E179" s="4"/>
    </row>
    <row r="180" spans="2:5" x14ac:dyDescent="0.35">
      <c r="B180" s="4"/>
      <c r="C180" s="4"/>
      <c r="D180" s="4"/>
      <c r="E180" s="4"/>
    </row>
    <row r="181" spans="2:5" x14ac:dyDescent="0.35">
      <c r="B181" s="4"/>
      <c r="C181" s="4"/>
      <c r="D181" s="4"/>
      <c r="E181" s="4"/>
    </row>
    <row r="182" spans="2:5" x14ac:dyDescent="0.35">
      <c r="B182" s="4"/>
      <c r="C182" s="4"/>
      <c r="D182" s="4"/>
      <c r="E182" s="4"/>
    </row>
    <row r="183" spans="2:5" x14ac:dyDescent="0.35">
      <c r="B183" s="4"/>
      <c r="C183" s="4"/>
      <c r="D183" s="4"/>
      <c r="E183" s="4"/>
    </row>
    <row r="184" spans="2:5" x14ac:dyDescent="0.35">
      <c r="B184" s="4"/>
      <c r="C184" s="4"/>
      <c r="D184" s="4"/>
      <c r="E184" s="4"/>
    </row>
    <row r="185" spans="2:5" x14ac:dyDescent="0.35">
      <c r="B185" s="4"/>
      <c r="C185" s="4"/>
      <c r="D185" s="4"/>
      <c r="E185" s="4"/>
    </row>
    <row r="186" spans="2:5" x14ac:dyDescent="0.35">
      <c r="B186" s="4"/>
      <c r="C186" s="4"/>
      <c r="D186" s="4"/>
      <c r="E186" s="4"/>
    </row>
    <row r="187" spans="2:5" x14ac:dyDescent="0.35">
      <c r="B187" s="4"/>
      <c r="C187" s="4"/>
      <c r="D187" s="4"/>
      <c r="E187" s="4"/>
    </row>
    <row r="188" spans="2:5" x14ac:dyDescent="0.35">
      <c r="B188" s="4"/>
      <c r="C188" s="4"/>
      <c r="D188" s="4"/>
      <c r="E188" s="4"/>
    </row>
    <row r="189" spans="2:5" x14ac:dyDescent="0.35">
      <c r="B189" s="4"/>
      <c r="C189" s="4"/>
      <c r="D189" s="4"/>
      <c r="E189" s="4"/>
    </row>
    <row r="190" spans="2:5" x14ac:dyDescent="0.35">
      <c r="B190" s="4"/>
      <c r="C190" s="4"/>
      <c r="D190" s="4"/>
      <c r="E190" s="4"/>
    </row>
    <row r="191" spans="2:5" x14ac:dyDescent="0.35">
      <c r="B191" s="4"/>
      <c r="C191" s="4"/>
      <c r="D191" s="4"/>
      <c r="E191" s="4"/>
    </row>
    <row r="192" spans="2:5" x14ac:dyDescent="0.35">
      <c r="B192" s="4"/>
      <c r="C192" s="4"/>
      <c r="D192" s="4"/>
      <c r="E192" s="4"/>
    </row>
    <row r="193" spans="2:5" x14ac:dyDescent="0.35">
      <c r="B193" s="4"/>
      <c r="C193" s="4"/>
      <c r="D193" s="4"/>
      <c r="E193" s="4"/>
    </row>
    <row r="194" spans="2:5" x14ac:dyDescent="0.35">
      <c r="B194" s="4"/>
      <c r="C194" s="4"/>
      <c r="D194" s="4"/>
      <c r="E194" s="4"/>
    </row>
    <row r="195" spans="2:5" x14ac:dyDescent="0.35">
      <c r="B195" s="4"/>
      <c r="C195" s="4"/>
      <c r="D195" s="4"/>
      <c r="E195" s="4"/>
    </row>
    <row r="196" spans="2:5" x14ac:dyDescent="0.35">
      <c r="B196" s="4"/>
      <c r="C196" s="4"/>
      <c r="D196" s="4"/>
      <c r="E196" s="4"/>
    </row>
    <row r="197" spans="2:5" x14ac:dyDescent="0.35">
      <c r="B197" s="4"/>
      <c r="C197" s="4"/>
      <c r="D197" s="4"/>
      <c r="E197" s="4"/>
    </row>
    <row r="198" spans="2:5" x14ac:dyDescent="0.35">
      <c r="B198" s="4"/>
      <c r="C198" s="4"/>
      <c r="D198" s="4"/>
      <c r="E198" s="4"/>
    </row>
    <row r="199" spans="2:5" x14ac:dyDescent="0.35">
      <c r="B199" s="4"/>
      <c r="C199" s="4"/>
      <c r="D199" s="4"/>
      <c r="E199" s="4"/>
    </row>
    <row r="200" spans="2:5" x14ac:dyDescent="0.35">
      <c r="B200" s="4"/>
      <c r="C200" s="4"/>
      <c r="D200" s="4"/>
      <c r="E200" s="4"/>
    </row>
    <row r="201" spans="2:5" x14ac:dyDescent="0.35">
      <c r="B201" s="4"/>
      <c r="C201" s="4"/>
      <c r="D201" s="4"/>
      <c r="E201" s="4"/>
    </row>
    <row r="202" spans="2:5" x14ac:dyDescent="0.35">
      <c r="B202" s="4"/>
      <c r="C202" s="4"/>
      <c r="D202" s="4"/>
      <c r="E202" s="4"/>
    </row>
    <row r="203" spans="2:5" x14ac:dyDescent="0.35">
      <c r="B203" s="4"/>
      <c r="C203" s="4"/>
      <c r="D203" s="4"/>
      <c r="E203" s="4"/>
    </row>
    <row r="204" spans="2:5" x14ac:dyDescent="0.35">
      <c r="B204" s="4"/>
      <c r="C204" s="4"/>
      <c r="D204" s="4"/>
      <c r="E204" s="4"/>
    </row>
    <row r="205" spans="2:5" x14ac:dyDescent="0.35">
      <c r="B205" s="4"/>
      <c r="C205" s="4"/>
      <c r="D205" s="4"/>
      <c r="E205" s="4"/>
    </row>
    <row r="206" spans="2:5" x14ac:dyDescent="0.35">
      <c r="B206" s="4"/>
      <c r="C206" s="4"/>
      <c r="D206" s="4"/>
      <c r="E206" s="4"/>
    </row>
    <row r="207" spans="2:5" x14ac:dyDescent="0.35">
      <c r="B207" s="4"/>
      <c r="C207" s="4"/>
      <c r="D207" s="4"/>
      <c r="E207" s="4"/>
    </row>
    <row r="208" spans="2:5" x14ac:dyDescent="0.35">
      <c r="B208" s="4"/>
      <c r="C208" s="4"/>
      <c r="D208" s="4"/>
      <c r="E208" s="4"/>
    </row>
    <row r="209" spans="2:5" x14ac:dyDescent="0.35">
      <c r="B209" s="4"/>
      <c r="C209" s="4"/>
      <c r="D209" s="4"/>
      <c r="E209" s="4"/>
    </row>
    <row r="210" spans="2:5" x14ac:dyDescent="0.35">
      <c r="B210" s="4"/>
      <c r="C210" s="4"/>
      <c r="D210" s="4"/>
      <c r="E210" s="4"/>
    </row>
    <row r="211" spans="2:5" x14ac:dyDescent="0.35">
      <c r="B211" s="4"/>
      <c r="C211" s="4"/>
      <c r="D211" s="4"/>
      <c r="E211" s="4"/>
    </row>
    <row r="212" spans="2:5" x14ac:dyDescent="0.35">
      <c r="B212" s="4"/>
      <c r="C212" s="4"/>
      <c r="D212" s="4"/>
      <c r="E212" s="4"/>
    </row>
    <row r="213" spans="2:5" x14ac:dyDescent="0.35">
      <c r="B213" s="4"/>
      <c r="C213" s="4"/>
      <c r="D213" s="4"/>
      <c r="E213" s="4"/>
    </row>
    <row r="214" spans="2:5" x14ac:dyDescent="0.35">
      <c r="B214" s="4"/>
      <c r="C214" s="4"/>
      <c r="D214" s="4"/>
      <c r="E214" s="4"/>
    </row>
    <row r="215" spans="2:5" x14ac:dyDescent="0.35">
      <c r="B215" s="4"/>
      <c r="C215" s="4"/>
      <c r="D215" s="4"/>
      <c r="E215" s="4"/>
    </row>
    <row r="216" spans="2:5" x14ac:dyDescent="0.35">
      <c r="B216" s="4"/>
      <c r="C216" s="4"/>
      <c r="D216" s="4"/>
      <c r="E216" s="4"/>
    </row>
    <row r="217" spans="2:5" x14ac:dyDescent="0.35">
      <c r="B217" s="4"/>
      <c r="C217" s="4"/>
      <c r="D217" s="4"/>
      <c r="E217" s="4"/>
    </row>
    <row r="218" spans="2:5" x14ac:dyDescent="0.35">
      <c r="B218" s="4"/>
      <c r="C218" s="4"/>
      <c r="D218" s="4"/>
      <c r="E218" s="4"/>
    </row>
    <row r="219" spans="2:5" x14ac:dyDescent="0.35">
      <c r="B219" s="4"/>
      <c r="C219" s="4"/>
      <c r="D219" s="4"/>
      <c r="E219" s="4"/>
    </row>
    <row r="220" spans="2:5" x14ac:dyDescent="0.35">
      <c r="B220" s="4"/>
      <c r="C220" s="4"/>
      <c r="D220" s="4"/>
      <c r="E220" s="4"/>
    </row>
    <row r="221" spans="2:5" x14ac:dyDescent="0.35">
      <c r="B221" s="4"/>
      <c r="C221" s="4"/>
      <c r="D221" s="4"/>
      <c r="E221" s="4"/>
    </row>
    <row r="222" spans="2:5" x14ac:dyDescent="0.35">
      <c r="B222" s="4"/>
      <c r="C222" s="4"/>
      <c r="D222" s="4"/>
      <c r="E222" s="4"/>
    </row>
    <row r="223" spans="2:5" x14ac:dyDescent="0.35">
      <c r="B223" s="4"/>
      <c r="C223" s="4"/>
      <c r="D223" s="4"/>
      <c r="E223" s="4"/>
    </row>
    <row r="224" spans="2:5" x14ac:dyDescent="0.35">
      <c r="B224" s="4"/>
      <c r="C224" s="4"/>
      <c r="D224" s="4"/>
      <c r="E224" s="4"/>
    </row>
    <row r="225" spans="2:5" x14ac:dyDescent="0.35">
      <c r="B225" s="4"/>
      <c r="C225" s="4"/>
      <c r="D225" s="4"/>
      <c r="E225" s="4"/>
    </row>
    <row r="226" spans="2:5" x14ac:dyDescent="0.35">
      <c r="B226" s="4"/>
      <c r="C226" s="4"/>
      <c r="D226" s="4"/>
      <c r="E226" s="4"/>
    </row>
    <row r="227" spans="2:5" x14ac:dyDescent="0.35">
      <c r="B227" s="4"/>
      <c r="C227" s="4"/>
      <c r="D227" s="4"/>
      <c r="E227" s="4"/>
    </row>
    <row r="228" spans="2:5" x14ac:dyDescent="0.35">
      <c r="B228" s="4"/>
      <c r="C228" s="4"/>
      <c r="D228" s="4"/>
      <c r="E228" s="4"/>
    </row>
    <row r="229" spans="2:5" x14ac:dyDescent="0.35">
      <c r="B229" s="4"/>
      <c r="C229" s="4"/>
      <c r="D229" s="4"/>
      <c r="E229" s="4"/>
    </row>
    <row r="230" spans="2:5" x14ac:dyDescent="0.35">
      <c r="B230" s="4"/>
      <c r="C230" s="4"/>
      <c r="D230" s="4"/>
      <c r="E230" s="4"/>
    </row>
    <row r="231" spans="2:5" x14ac:dyDescent="0.35">
      <c r="B231" s="4"/>
      <c r="C231" s="4"/>
      <c r="D231" s="4"/>
      <c r="E231" s="4"/>
    </row>
    <row r="232" spans="2:5" x14ac:dyDescent="0.35">
      <c r="B232" s="4"/>
      <c r="C232" s="4"/>
      <c r="D232" s="4"/>
      <c r="E232" s="4"/>
    </row>
    <row r="233" spans="2:5" x14ac:dyDescent="0.35">
      <c r="B233" s="4"/>
      <c r="C233" s="4"/>
      <c r="D233" s="4"/>
      <c r="E233" s="4"/>
    </row>
    <row r="234" spans="2:5" x14ac:dyDescent="0.35">
      <c r="B234" s="4"/>
      <c r="C234" s="4"/>
      <c r="D234" s="4"/>
      <c r="E234" s="4"/>
    </row>
    <row r="235" spans="2:5" x14ac:dyDescent="0.35">
      <c r="B235" s="4"/>
      <c r="C235" s="4"/>
      <c r="D235" s="4"/>
      <c r="E235" s="4"/>
    </row>
    <row r="236" spans="2:5" x14ac:dyDescent="0.35">
      <c r="B236" s="4"/>
      <c r="C236" s="4"/>
      <c r="D236" s="4"/>
      <c r="E236" s="4"/>
    </row>
    <row r="237" spans="2:5" x14ac:dyDescent="0.35">
      <c r="B237" s="4"/>
      <c r="C237" s="4"/>
      <c r="D237" s="4"/>
      <c r="E237" s="4"/>
    </row>
    <row r="238" spans="2:5" x14ac:dyDescent="0.35">
      <c r="B238" s="4"/>
      <c r="C238" s="4"/>
      <c r="D238" s="4"/>
      <c r="E238" s="4"/>
    </row>
    <row r="239" spans="2:5" x14ac:dyDescent="0.35">
      <c r="B239" s="4"/>
      <c r="C239" s="4"/>
      <c r="D239" s="4"/>
      <c r="E239" s="4"/>
    </row>
    <row r="240" spans="2:5" x14ac:dyDescent="0.35">
      <c r="B240" s="4"/>
      <c r="C240" s="4"/>
      <c r="D240" s="4"/>
      <c r="E240" s="4"/>
    </row>
    <row r="241" spans="2:5" x14ac:dyDescent="0.35">
      <c r="B241" s="4"/>
      <c r="C241" s="4"/>
      <c r="D241" s="4"/>
      <c r="E241" s="4"/>
    </row>
    <row r="242" spans="2:5" x14ac:dyDescent="0.35">
      <c r="B242" s="4"/>
      <c r="C242" s="4"/>
      <c r="D242" s="4"/>
      <c r="E242" s="4"/>
    </row>
    <row r="243" spans="2:5" x14ac:dyDescent="0.35">
      <c r="B243" s="4"/>
      <c r="C243" s="4"/>
      <c r="D243" s="4"/>
      <c r="E243" s="4"/>
    </row>
    <row r="244" spans="2:5" x14ac:dyDescent="0.35">
      <c r="B244" s="4"/>
      <c r="C244" s="4"/>
      <c r="D244" s="4"/>
      <c r="E244" s="4"/>
    </row>
    <row r="245" spans="2:5" x14ac:dyDescent="0.35">
      <c r="B245" s="4"/>
      <c r="C245" s="4"/>
      <c r="D245" s="4"/>
      <c r="E245" s="4"/>
    </row>
    <row r="246" spans="2:5" x14ac:dyDescent="0.35">
      <c r="B246" s="4"/>
      <c r="C246" s="4"/>
      <c r="D246" s="4"/>
      <c r="E246" s="4"/>
    </row>
    <row r="247" spans="2:5" x14ac:dyDescent="0.35">
      <c r="B247" s="4"/>
      <c r="C247" s="4"/>
      <c r="D247" s="4"/>
      <c r="E247" s="4"/>
    </row>
    <row r="248" spans="2:5" x14ac:dyDescent="0.35">
      <c r="B248" s="4"/>
      <c r="C248" s="4"/>
      <c r="D248" s="4"/>
      <c r="E248" s="4"/>
    </row>
    <row r="249" spans="2:5" x14ac:dyDescent="0.35">
      <c r="B249" s="4"/>
      <c r="C249" s="4"/>
      <c r="D249" s="4"/>
      <c r="E249" s="4"/>
    </row>
    <row r="250" spans="2:5" x14ac:dyDescent="0.35">
      <c r="B250" s="4"/>
      <c r="C250" s="4"/>
      <c r="D250" s="4"/>
      <c r="E250" s="4"/>
    </row>
    <row r="251" spans="2:5" x14ac:dyDescent="0.35">
      <c r="B251" s="4"/>
      <c r="C251" s="4"/>
      <c r="D251" s="4"/>
      <c r="E251" s="4"/>
    </row>
    <row r="252" spans="2:5" x14ac:dyDescent="0.35">
      <c r="B252" s="4"/>
      <c r="C252" s="4"/>
      <c r="D252" s="4"/>
      <c r="E252" s="4"/>
    </row>
    <row r="253" spans="2:5" x14ac:dyDescent="0.35">
      <c r="B253" s="4"/>
      <c r="C253" s="4"/>
      <c r="D253" s="4"/>
      <c r="E253" s="4"/>
    </row>
    <row r="254" spans="2:5" x14ac:dyDescent="0.35">
      <c r="B254" s="4"/>
      <c r="C254" s="4"/>
      <c r="D254" s="4"/>
      <c r="E254" s="4"/>
    </row>
    <row r="255" spans="2:5" x14ac:dyDescent="0.35">
      <c r="B255" s="4"/>
      <c r="C255" s="4"/>
      <c r="D255" s="4"/>
      <c r="E255" s="4"/>
    </row>
    <row r="256" spans="2:5" x14ac:dyDescent="0.35">
      <c r="B256" s="4"/>
      <c r="C256" s="4"/>
      <c r="D256" s="4"/>
      <c r="E256" s="4"/>
    </row>
    <row r="257" spans="2:5" x14ac:dyDescent="0.35">
      <c r="B257" s="4"/>
      <c r="C257" s="4"/>
      <c r="D257" s="4"/>
      <c r="E257" s="4"/>
    </row>
    <row r="258" spans="2:5" x14ac:dyDescent="0.35">
      <c r="B258" s="4"/>
      <c r="C258" s="4"/>
      <c r="D258" s="4"/>
      <c r="E258" s="4"/>
    </row>
    <row r="259" spans="2:5" x14ac:dyDescent="0.35">
      <c r="B259" s="4"/>
      <c r="C259" s="4"/>
      <c r="D259" s="4"/>
      <c r="E259" s="4"/>
    </row>
    <row r="260" spans="2:5" x14ac:dyDescent="0.35">
      <c r="B260" s="4"/>
      <c r="C260" s="4"/>
      <c r="D260" s="4"/>
      <c r="E260" s="4"/>
    </row>
    <row r="261" spans="2:5" x14ac:dyDescent="0.35">
      <c r="B261" s="4"/>
      <c r="C261" s="4"/>
      <c r="D261" s="4"/>
      <c r="E261" s="4"/>
    </row>
    <row r="262" spans="2:5" x14ac:dyDescent="0.35">
      <c r="B262" s="4"/>
      <c r="C262" s="4"/>
      <c r="D262" s="4"/>
      <c r="E262" s="4"/>
    </row>
    <row r="263" spans="2:5" x14ac:dyDescent="0.35">
      <c r="B263" s="4"/>
      <c r="C263" s="4"/>
      <c r="D263" s="4"/>
      <c r="E263" s="4"/>
    </row>
    <row r="264" spans="2:5" x14ac:dyDescent="0.35">
      <c r="B264" s="4"/>
      <c r="C264" s="4"/>
      <c r="D264" s="4"/>
      <c r="E264" s="4"/>
    </row>
    <row r="265" spans="2:5" x14ac:dyDescent="0.35">
      <c r="B265" s="4"/>
      <c r="C265" s="4"/>
      <c r="D265" s="4"/>
      <c r="E265" s="4"/>
    </row>
    <row r="266" spans="2:5" x14ac:dyDescent="0.35">
      <c r="B266" s="4"/>
      <c r="C266" s="4"/>
      <c r="D266" s="4"/>
      <c r="E266" s="4"/>
    </row>
    <row r="267" spans="2:5" x14ac:dyDescent="0.35">
      <c r="B267" s="4"/>
      <c r="C267" s="4"/>
      <c r="D267" s="4"/>
      <c r="E267" s="4"/>
    </row>
    <row r="268" spans="2:5" x14ac:dyDescent="0.35">
      <c r="B268" s="4"/>
      <c r="C268" s="4"/>
      <c r="D268" s="4"/>
      <c r="E268" s="4"/>
    </row>
    <row r="269" spans="2:5" x14ac:dyDescent="0.35">
      <c r="B269" s="4"/>
      <c r="C269" s="4"/>
      <c r="D269" s="4"/>
      <c r="E269" s="4"/>
    </row>
    <row r="270" spans="2:5" x14ac:dyDescent="0.35">
      <c r="B270" s="4"/>
      <c r="C270" s="4"/>
      <c r="D270" s="4"/>
      <c r="E270" s="4"/>
    </row>
    <row r="271" spans="2:5" x14ac:dyDescent="0.35">
      <c r="B271" s="4"/>
      <c r="C271" s="4"/>
      <c r="D271" s="4"/>
      <c r="E271" s="4"/>
    </row>
    <row r="272" spans="2:5" x14ac:dyDescent="0.35">
      <c r="B272" s="4"/>
      <c r="C272" s="4"/>
      <c r="D272" s="4"/>
      <c r="E272" s="4"/>
    </row>
    <row r="273" spans="2:5" x14ac:dyDescent="0.35">
      <c r="B273" s="4"/>
      <c r="C273" s="4"/>
      <c r="D273" s="4"/>
      <c r="E273" s="4"/>
    </row>
    <row r="274" spans="2:5" x14ac:dyDescent="0.35">
      <c r="B274" s="4"/>
      <c r="C274" s="4"/>
      <c r="D274" s="4"/>
      <c r="E274" s="4"/>
    </row>
    <row r="275" spans="2:5" x14ac:dyDescent="0.35">
      <c r="B275" s="4"/>
      <c r="C275" s="4"/>
      <c r="D275" s="4"/>
      <c r="E275" s="4"/>
    </row>
    <row r="276" spans="2:5" x14ac:dyDescent="0.35">
      <c r="B276" s="4"/>
      <c r="C276" s="4"/>
      <c r="D276" s="4"/>
      <c r="E276" s="4"/>
    </row>
    <row r="277" spans="2:5" x14ac:dyDescent="0.35">
      <c r="B277" s="4"/>
      <c r="C277" s="4"/>
      <c r="D277" s="4"/>
      <c r="E277" s="4"/>
    </row>
    <row r="278" spans="2:5" x14ac:dyDescent="0.35">
      <c r="B278" s="4"/>
      <c r="C278" s="4"/>
      <c r="D278" s="4"/>
      <c r="E278" s="4"/>
    </row>
    <row r="279" spans="2:5" x14ac:dyDescent="0.35">
      <c r="B279" s="4"/>
      <c r="C279" s="4"/>
      <c r="D279" s="4"/>
      <c r="E279" s="4"/>
    </row>
    <row r="280" spans="2:5" x14ac:dyDescent="0.35">
      <c r="B280" s="4"/>
      <c r="C280" s="4"/>
      <c r="D280" s="4"/>
      <c r="E280" s="4"/>
    </row>
    <row r="281" spans="2:5" x14ac:dyDescent="0.35">
      <c r="B281" s="4"/>
      <c r="C281" s="4"/>
      <c r="D281" s="4"/>
      <c r="E281" s="4"/>
    </row>
    <row r="282" spans="2:5" x14ac:dyDescent="0.35">
      <c r="B282" s="4"/>
      <c r="C282" s="4"/>
      <c r="D282" s="4"/>
      <c r="E282" s="4"/>
    </row>
    <row r="283" spans="2:5" x14ac:dyDescent="0.35">
      <c r="B283" s="4"/>
      <c r="C283" s="4"/>
      <c r="D283" s="4"/>
      <c r="E283" s="4"/>
    </row>
    <row r="284" spans="2:5" x14ac:dyDescent="0.35">
      <c r="B284" s="4"/>
      <c r="C284" s="4"/>
      <c r="D284" s="4"/>
      <c r="E284" s="4"/>
    </row>
    <row r="285" spans="2:5" x14ac:dyDescent="0.35">
      <c r="B285" s="4"/>
      <c r="C285" s="4"/>
      <c r="D285" s="4"/>
      <c r="E285" s="4"/>
    </row>
    <row r="286" spans="2:5" x14ac:dyDescent="0.35">
      <c r="B286" s="4"/>
      <c r="C286" s="4"/>
      <c r="D286" s="4"/>
      <c r="E286" s="4"/>
    </row>
    <row r="287" spans="2:5" x14ac:dyDescent="0.35">
      <c r="B287" s="4"/>
      <c r="C287" s="4"/>
      <c r="D287" s="4"/>
      <c r="E287" s="4"/>
    </row>
    <row r="288" spans="2:5" x14ac:dyDescent="0.35">
      <c r="B288" s="4"/>
      <c r="C288" s="4"/>
      <c r="D288" s="4"/>
      <c r="E288" s="4"/>
    </row>
    <row r="289" spans="2:5" x14ac:dyDescent="0.35">
      <c r="B289" s="4"/>
      <c r="C289" s="4"/>
      <c r="D289" s="4"/>
      <c r="E289" s="4"/>
    </row>
    <row r="290" spans="2:5" x14ac:dyDescent="0.35">
      <c r="B290" s="4"/>
      <c r="C290" s="4"/>
      <c r="D290" s="4"/>
      <c r="E290" s="4"/>
    </row>
    <row r="291" spans="2:5" x14ac:dyDescent="0.35">
      <c r="B291" s="4"/>
      <c r="C291" s="4"/>
      <c r="D291" s="4"/>
      <c r="E291" s="4"/>
    </row>
    <row r="292" spans="2:5" x14ac:dyDescent="0.35">
      <c r="B292" s="4"/>
      <c r="C292" s="4"/>
      <c r="D292" s="4"/>
      <c r="E292" s="4"/>
    </row>
    <row r="293" spans="2:5" x14ac:dyDescent="0.35">
      <c r="B293" s="4"/>
      <c r="C293" s="4"/>
      <c r="D293" s="4"/>
      <c r="E293" s="4"/>
    </row>
    <row r="294" spans="2:5" x14ac:dyDescent="0.35">
      <c r="B294" s="4"/>
      <c r="C294" s="4"/>
      <c r="D294" s="4"/>
      <c r="E294" s="4"/>
    </row>
    <row r="295" spans="2:5" x14ac:dyDescent="0.35">
      <c r="B295" s="4"/>
      <c r="C295" s="4"/>
      <c r="D295" s="4"/>
      <c r="E295" s="4"/>
    </row>
    <row r="296" spans="2:5" x14ac:dyDescent="0.35">
      <c r="B296" s="4"/>
      <c r="C296" s="4"/>
      <c r="D296" s="4"/>
      <c r="E296" s="4"/>
    </row>
    <row r="297" spans="2:5" x14ac:dyDescent="0.35">
      <c r="B297" s="4"/>
      <c r="C297" s="4"/>
      <c r="D297" s="4"/>
      <c r="E297" s="4"/>
    </row>
    <row r="298" spans="2:5" x14ac:dyDescent="0.35">
      <c r="B298" s="4"/>
      <c r="C298" s="4"/>
      <c r="D298" s="4"/>
      <c r="E298" s="4"/>
    </row>
    <row r="299" spans="2:5" x14ac:dyDescent="0.35">
      <c r="B299" s="4"/>
      <c r="C299" s="4"/>
      <c r="D299" s="4"/>
      <c r="E299" s="4"/>
    </row>
    <row r="300" spans="2:5" x14ac:dyDescent="0.35">
      <c r="B300" s="4"/>
      <c r="C300" s="4"/>
      <c r="D300" s="4"/>
      <c r="E300" s="4"/>
    </row>
    <row r="301" spans="2:5" x14ac:dyDescent="0.35">
      <c r="B301" s="4"/>
      <c r="C301" s="4"/>
      <c r="D301" s="4"/>
      <c r="E301" s="4"/>
    </row>
    <row r="302" spans="2:5" x14ac:dyDescent="0.35">
      <c r="B302" s="4"/>
      <c r="C302" s="4"/>
      <c r="D302" s="4"/>
      <c r="E302" s="4"/>
    </row>
    <row r="303" spans="2:5" x14ac:dyDescent="0.35">
      <c r="B303" s="4"/>
      <c r="C303" s="4"/>
      <c r="D303" s="4"/>
      <c r="E303" s="4"/>
    </row>
    <row r="304" spans="2:5" x14ac:dyDescent="0.35">
      <c r="B304" s="4"/>
      <c r="C304" s="4"/>
      <c r="D304" s="4"/>
      <c r="E304" s="4"/>
    </row>
    <row r="305" spans="2:5" x14ac:dyDescent="0.35">
      <c r="B305" s="4"/>
      <c r="C305" s="4"/>
      <c r="D305" s="4"/>
      <c r="E305" s="4"/>
    </row>
    <row r="306" spans="2:5" x14ac:dyDescent="0.35">
      <c r="B306" s="4"/>
      <c r="C306" s="4"/>
      <c r="D306" s="4"/>
      <c r="E306" s="4"/>
    </row>
    <row r="307" spans="2:5" x14ac:dyDescent="0.35">
      <c r="B307" s="4"/>
      <c r="C307" s="4"/>
      <c r="D307" s="4"/>
      <c r="E307" s="4"/>
    </row>
    <row r="308" spans="2:5" x14ac:dyDescent="0.35">
      <c r="B308" s="4"/>
      <c r="C308" s="4"/>
      <c r="D308" s="4"/>
      <c r="E308" s="4"/>
    </row>
    <row r="309" spans="2:5" x14ac:dyDescent="0.35">
      <c r="B309" s="4"/>
      <c r="C309" s="4"/>
      <c r="D309" s="4"/>
      <c r="E309" s="4"/>
    </row>
    <row r="310" spans="2:5" x14ac:dyDescent="0.35">
      <c r="B310" s="4"/>
      <c r="C310" s="4"/>
      <c r="D310" s="4"/>
      <c r="E310" s="4"/>
    </row>
    <row r="311" spans="2:5" x14ac:dyDescent="0.35">
      <c r="B311" s="4"/>
      <c r="C311" s="4"/>
      <c r="D311" s="4"/>
      <c r="E311" s="4"/>
    </row>
    <row r="312" spans="2:5" x14ac:dyDescent="0.35">
      <c r="B312" s="4"/>
      <c r="C312" s="4"/>
      <c r="D312" s="4"/>
      <c r="E312" s="4"/>
    </row>
    <row r="313" spans="2:5" x14ac:dyDescent="0.35">
      <c r="B313" s="4"/>
      <c r="C313" s="4"/>
      <c r="D313" s="4"/>
      <c r="E313" s="4"/>
    </row>
    <row r="314" spans="2:5" x14ac:dyDescent="0.35">
      <c r="B314" s="4"/>
      <c r="C314" s="4"/>
      <c r="D314" s="4"/>
      <c r="E314" s="4"/>
    </row>
    <row r="315" spans="2:5" x14ac:dyDescent="0.35">
      <c r="B315" s="4"/>
      <c r="C315" s="4"/>
      <c r="D315" s="4"/>
      <c r="E315" s="4"/>
    </row>
    <row r="316" spans="2:5" x14ac:dyDescent="0.35">
      <c r="B316" s="4"/>
      <c r="C316" s="4"/>
      <c r="D316" s="4"/>
      <c r="E316" s="4"/>
    </row>
    <row r="317" spans="2:5" x14ac:dyDescent="0.35">
      <c r="B317" s="4"/>
      <c r="C317" s="4"/>
      <c r="D317" s="4"/>
      <c r="E317" s="4"/>
    </row>
    <row r="318" spans="2:5" x14ac:dyDescent="0.35">
      <c r="B318" s="4"/>
      <c r="C318" s="4"/>
      <c r="D318" s="4"/>
      <c r="E318" s="4"/>
    </row>
    <row r="319" spans="2:5" x14ac:dyDescent="0.35">
      <c r="B319" s="4"/>
      <c r="C319" s="4"/>
      <c r="D319" s="4"/>
      <c r="E319" s="4"/>
    </row>
    <row r="320" spans="2:5" x14ac:dyDescent="0.35">
      <c r="B320" s="4"/>
      <c r="C320" s="4"/>
      <c r="D320" s="4"/>
      <c r="E320" s="4"/>
    </row>
    <row r="321" spans="2:5" x14ac:dyDescent="0.35">
      <c r="B321" s="4"/>
      <c r="C321" s="4"/>
      <c r="D321" s="4"/>
      <c r="E321" s="4"/>
    </row>
    <row r="322" spans="2:5" x14ac:dyDescent="0.35">
      <c r="B322" s="4"/>
      <c r="C322" s="4"/>
      <c r="D322" s="4"/>
      <c r="E322" s="4"/>
    </row>
    <row r="323" spans="2:5" x14ac:dyDescent="0.35">
      <c r="B323" s="4"/>
      <c r="C323" s="4"/>
      <c r="D323" s="4"/>
      <c r="E323" s="4"/>
    </row>
    <row r="324" spans="2:5" x14ac:dyDescent="0.35">
      <c r="B324" s="4"/>
      <c r="C324" s="4"/>
      <c r="D324" s="4"/>
      <c r="E324" s="4"/>
    </row>
    <row r="325" spans="2:5" x14ac:dyDescent="0.35">
      <c r="B325" s="4"/>
      <c r="C325" s="4"/>
      <c r="D325" s="4"/>
      <c r="E325" s="4"/>
    </row>
    <row r="326" spans="2:5" x14ac:dyDescent="0.35">
      <c r="B326" s="4"/>
      <c r="C326" s="4"/>
      <c r="D326" s="4"/>
      <c r="E326" s="4"/>
    </row>
    <row r="327" spans="2:5" x14ac:dyDescent="0.35">
      <c r="B327" s="4"/>
      <c r="C327" s="4"/>
      <c r="D327" s="4"/>
      <c r="E327" s="4"/>
    </row>
    <row r="328" spans="2:5" x14ac:dyDescent="0.35">
      <c r="B328" s="4"/>
      <c r="C328" s="4"/>
      <c r="D328" s="4"/>
      <c r="E328" s="4"/>
    </row>
    <row r="329" spans="2:5" x14ac:dyDescent="0.35">
      <c r="B329" s="4"/>
      <c r="C329" s="4"/>
      <c r="D329" s="4"/>
      <c r="E329" s="4"/>
    </row>
    <row r="330" spans="2:5" x14ac:dyDescent="0.35">
      <c r="B330" s="4"/>
      <c r="C330" s="4"/>
      <c r="D330" s="4"/>
      <c r="E330" s="4"/>
    </row>
    <row r="331" spans="2:5" x14ac:dyDescent="0.35">
      <c r="B331" s="4"/>
      <c r="C331" s="4"/>
      <c r="D331" s="4"/>
      <c r="E331" s="4"/>
    </row>
    <row r="332" spans="2:5" x14ac:dyDescent="0.35">
      <c r="B332" s="4"/>
      <c r="C332" s="4"/>
      <c r="D332" s="4"/>
      <c r="E332" s="4"/>
    </row>
    <row r="333" spans="2:5" x14ac:dyDescent="0.35">
      <c r="B333" s="4"/>
      <c r="C333" s="4"/>
      <c r="D333" s="4"/>
      <c r="E333" s="4"/>
    </row>
    <row r="334" spans="2:5" x14ac:dyDescent="0.35">
      <c r="B334" s="4"/>
      <c r="C334" s="4"/>
      <c r="D334" s="4"/>
      <c r="E334" s="4"/>
    </row>
    <row r="335" spans="2:5" x14ac:dyDescent="0.35">
      <c r="B335" s="4"/>
      <c r="C335" s="4"/>
      <c r="D335" s="4"/>
      <c r="E335" s="4"/>
    </row>
    <row r="336" spans="2:5" x14ac:dyDescent="0.35">
      <c r="B336" s="4"/>
      <c r="C336" s="4"/>
      <c r="D336" s="4"/>
      <c r="E336" s="4"/>
    </row>
    <row r="337" spans="2:5" x14ac:dyDescent="0.35">
      <c r="B337" s="4"/>
      <c r="C337" s="4"/>
      <c r="D337" s="4"/>
      <c r="E337" s="4"/>
    </row>
    <row r="338" spans="2:5" x14ac:dyDescent="0.35">
      <c r="B338" s="4"/>
      <c r="C338" s="4"/>
      <c r="D338" s="4"/>
      <c r="E338" s="4"/>
    </row>
    <row r="339" spans="2:5" x14ac:dyDescent="0.35">
      <c r="B339" s="4"/>
      <c r="C339" s="4"/>
      <c r="D339" s="4"/>
      <c r="E339" s="4"/>
    </row>
    <row r="340" spans="2:5" x14ac:dyDescent="0.35">
      <c r="B340" s="4"/>
      <c r="C340" s="4"/>
      <c r="D340" s="4"/>
      <c r="E340" s="4"/>
    </row>
    <row r="341" spans="2:5" x14ac:dyDescent="0.35">
      <c r="B341" s="4"/>
      <c r="C341" s="4"/>
      <c r="D341" s="4"/>
      <c r="E341" s="4"/>
    </row>
    <row r="342" spans="2:5" x14ac:dyDescent="0.35">
      <c r="B342" s="4"/>
      <c r="C342" s="4"/>
      <c r="D342" s="4"/>
      <c r="E342" s="4"/>
    </row>
    <row r="343" spans="2:5" x14ac:dyDescent="0.35">
      <c r="B343" s="4"/>
      <c r="C343" s="4"/>
      <c r="D343" s="4"/>
      <c r="E343" s="4"/>
    </row>
    <row r="344" spans="2:5" x14ac:dyDescent="0.35">
      <c r="B344" s="4"/>
      <c r="C344" s="4"/>
      <c r="D344" s="4"/>
      <c r="E344" s="4"/>
    </row>
    <row r="345" spans="2:5" x14ac:dyDescent="0.35">
      <c r="B345" s="4"/>
      <c r="C345" s="4"/>
      <c r="D345" s="4"/>
      <c r="E345" s="4"/>
    </row>
    <row r="346" spans="2:5" x14ac:dyDescent="0.35">
      <c r="B346" s="4"/>
      <c r="C346" s="4"/>
      <c r="D346" s="4"/>
      <c r="E346" s="4"/>
    </row>
    <row r="347" spans="2:5" x14ac:dyDescent="0.35">
      <c r="B347" s="4"/>
      <c r="C347" s="4"/>
      <c r="D347" s="4"/>
      <c r="E347" s="4"/>
    </row>
    <row r="348" spans="2:5" x14ac:dyDescent="0.35">
      <c r="B348" s="4"/>
      <c r="C348" s="4"/>
      <c r="D348" s="4"/>
      <c r="E348" s="4"/>
    </row>
    <row r="349" spans="2:5" x14ac:dyDescent="0.35">
      <c r="B349" s="4"/>
      <c r="C349" s="4"/>
      <c r="D349" s="4"/>
      <c r="E349" s="4"/>
    </row>
    <row r="350" spans="2:5" x14ac:dyDescent="0.35">
      <c r="B350" s="4"/>
      <c r="C350" s="4"/>
      <c r="D350" s="4"/>
      <c r="E350" s="4"/>
    </row>
    <row r="351" spans="2:5" x14ac:dyDescent="0.35">
      <c r="B351" s="4"/>
      <c r="C351" s="4"/>
      <c r="D351" s="4"/>
      <c r="E351" s="4"/>
    </row>
    <row r="352" spans="2:5" x14ac:dyDescent="0.35">
      <c r="B352" s="4"/>
      <c r="C352" s="4"/>
      <c r="D352" s="4"/>
      <c r="E352" s="4"/>
    </row>
    <row r="353" spans="2:5" x14ac:dyDescent="0.35">
      <c r="B353" s="4"/>
      <c r="C353" s="4"/>
      <c r="D353" s="4"/>
      <c r="E353" s="4"/>
    </row>
    <row r="354" spans="2:5" x14ac:dyDescent="0.35">
      <c r="B354" s="4"/>
      <c r="C354" s="4"/>
      <c r="D354" s="4"/>
      <c r="E354" s="4"/>
    </row>
    <row r="355" spans="2:5" x14ac:dyDescent="0.35">
      <c r="B355" s="4"/>
      <c r="C355" s="4"/>
      <c r="D355" s="4"/>
      <c r="E355" s="4"/>
    </row>
    <row r="356" spans="2:5" x14ac:dyDescent="0.35">
      <c r="B356" s="4"/>
      <c r="C356" s="4"/>
      <c r="D356" s="4"/>
      <c r="E356" s="4"/>
    </row>
    <row r="357" spans="2:5" x14ac:dyDescent="0.35">
      <c r="B357" s="4"/>
      <c r="C357" s="4"/>
      <c r="D357" s="4"/>
      <c r="E357" s="4"/>
    </row>
    <row r="358" spans="2:5" x14ac:dyDescent="0.35">
      <c r="B358" s="4"/>
      <c r="C358" s="4"/>
      <c r="D358" s="4"/>
      <c r="E358" s="4"/>
    </row>
    <row r="359" spans="2:5" x14ac:dyDescent="0.35">
      <c r="B359" s="4"/>
      <c r="C359" s="4"/>
      <c r="D359" s="4"/>
      <c r="E359" s="4"/>
    </row>
    <row r="360" spans="2:5" x14ac:dyDescent="0.35">
      <c r="B360" s="4"/>
      <c r="C360" s="4"/>
      <c r="D360" s="4"/>
      <c r="E360" s="4"/>
    </row>
    <row r="361" spans="2:5" x14ac:dyDescent="0.35">
      <c r="B361" s="4"/>
      <c r="C361" s="4"/>
      <c r="D361" s="4"/>
      <c r="E361" s="4"/>
    </row>
    <row r="362" spans="2:5" x14ac:dyDescent="0.35">
      <c r="B362" s="4"/>
      <c r="C362" s="4"/>
      <c r="D362" s="4"/>
      <c r="E362" s="4"/>
    </row>
    <row r="363" spans="2:5" x14ac:dyDescent="0.35">
      <c r="B363" s="4"/>
      <c r="C363" s="4"/>
      <c r="D363" s="4"/>
      <c r="E363" s="4"/>
    </row>
    <row r="364" spans="2:5" x14ac:dyDescent="0.35">
      <c r="B364" s="4"/>
      <c r="C364" s="4"/>
      <c r="D364" s="4"/>
      <c r="E364" s="4"/>
    </row>
    <row r="365" spans="2:5" x14ac:dyDescent="0.35">
      <c r="B365" s="4"/>
      <c r="C365" s="4"/>
      <c r="D365" s="4"/>
      <c r="E365" s="4"/>
    </row>
    <row r="366" spans="2:5" x14ac:dyDescent="0.35">
      <c r="B366" s="4"/>
      <c r="C366" s="4"/>
      <c r="D366" s="4"/>
      <c r="E366" s="4"/>
    </row>
    <row r="367" spans="2:5" x14ac:dyDescent="0.35">
      <c r="B367" s="4"/>
      <c r="C367" s="4"/>
      <c r="D367" s="4"/>
      <c r="E367" s="4"/>
    </row>
    <row r="368" spans="2:5" x14ac:dyDescent="0.35">
      <c r="B368" s="4"/>
      <c r="C368" s="4"/>
      <c r="D368" s="4"/>
      <c r="E368" s="4"/>
    </row>
    <row r="369" spans="2:5" x14ac:dyDescent="0.35">
      <c r="B369" s="4"/>
      <c r="C369" s="4"/>
      <c r="D369" s="4"/>
      <c r="E369" s="4"/>
    </row>
    <row r="370" spans="2:5" x14ac:dyDescent="0.35">
      <c r="B370" s="4"/>
      <c r="C370" s="4"/>
      <c r="D370" s="4"/>
      <c r="E370" s="4"/>
    </row>
    <row r="371" spans="2:5" x14ac:dyDescent="0.35">
      <c r="B371" s="4"/>
      <c r="C371" s="4"/>
      <c r="D371" s="4"/>
      <c r="E371" s="4"/>
    </row>
    <row r="372" spans="2:5" x14ac:dyDescent="0.35">
      <c r="B372" s="4"/>
      <c r="C372" s="4"/>
      <c r="D372" s="4"/>
      <c r="E372" s="4"/>
    </row>
    <row r="373" spans="2:5" x14ac:dyDescent="0.35">
      <c r="B373" s="4"/>
      <c r="C373" s="4"/>
      <c r="D373" s="4"/>
      <c r="E373" s="4"/>
    </row>
    <row r="374" spans="2:5" x14ac:dyDescent="0.35">
      <c r="B374" s="4"/>
      <c r="C374" s="4"/>
      <c r="D374" s="4"/>
      <c r="E374" s="4"/>
    </row>
    <row r="375" spans="2:5" x14ac:dyDescent="0.35">
      <c r="B375" s="4"/>
      <c r="C375" s="4"/>
      <c r="D375" s="4"/>
      <c r="E375" s="4"/>
    </row>
    <row r="376" spans="2:5" x14ac:dyDescent="0.35">
      <c r="B376" s="4"/>
      <c r="C376" s="4"/>
      <c r="D376" s="4"/>
      <c r="E376" s="4"/>
    </row>
    <row r="377" spans="2:5" x14ac:dyDescent="0.35">
      <c r="B377" s="4"/>
      <c r="C377" s="4"/>
      <c r="D377" s="4"/>
      <c r="E377" s="4"/>
    </row>
    <row r="378" spans="2:5" x14ac:dyDescent="0.35">
      <c r="B378" s="4"/>
      <c r="C378" s="4"/>
      <c r="D378" s="4"/>
      <c r="E378" s="4"/>
    </row>
    <row r="379" spans="2:5" x14ac:dyDescent="0.35">
      <c r="B379" s="4"/>
      <c r="C379" s="4"/>
      <c r="D379" s="4"/>
      <c r="E379" s="4"/>
    </row>
    <row r="380" spans="2:5" x14ac:dyDescent="0.35">
      <c r="B380" s="4"/>
      <c r="C380" s="4"/>
      <c r="D380" s="4"/>
      <c r="E380" s="4"/>
    </row>
    <row r="381" spans="2:5" x14ac:dyDescent="0.35">
      <c r="B381" s="4"/>
      <c r="C381" s="4"/>
      <c r="D381" s="4"/>
      <c r="E381" s="4"/>
    </row>
    <row r="382" spans="2:5" x14ac:dyDescent="0.35">
      <c r="B382" s="4"/>
      <c r="C382" s="4"/>
      <c r="D382" s="4"/>
      <c r="E382" s="4"/>
    </row>
    <row r="383" spans="2:5" x14ac:dyDescent="0.35">
      <c r="B383" s="4"/>
      <c r="C383" s="4"/>
      <c r="D383" s="4"/>
      <c r="E383" s="4"/>
    </row>
    <row r="384" spans="2:5" x14ac:dyDescent="0.35">
      <c r="B384" s="4"/>
      <c r="C384" s="4"/>
      <c r="D384" s="4"/>
      <c r="E384" s="4"/>
    </row>
    <row r="385" spans="2:5" x14ac:dyDescent="0.35">
      <c r="B385" s="4"/>
      <c r="C385" s="4"/>
      <c r="D385" s="4"/>
      <c r="E385" s="4"/>
    </row>
    <row r="386" spans="2:5" x14ac:dyDescent="0.35">
      <c r="B386" s="4"/>
      <c r="C386" s="4"/>
      <c r="D386" s="4"/>
      <c r="E386" s="4"/>
    </row>
    <row r="387" spans="2:5" x14ac:dyDescent="0.35">
      <c r="B387" s="4"/>
      <c r="C387" s="4"/>
      <c r="D387" s="4"/>
      <c r="E387" s="4"/>
    </row>
    <row r="388" spans="2:5" x14ac:dyDescent="0.35">
      <c r="B388" s="4"/>
      <c r="C388" s="4"/>
      <c r="D388" s="4"/>
      <c r="E388" s="4"/>
    </row>
    <row r="389" spans="2:5" x14ac:dyDescent="0.35">
      <c r="B389" s="4"/>
      <c r="C389" s="4"/>
      <c r="D389" s="4"/>
      <c r="E389" s="4"/>
    </row>
    <row r="390" spans="2:5" x14ac:dyDescent="0.35">
      <c r="B390" s="4"/>
      <c r="C390" s="4"/>
      <c r="D390" s="4"/>
      <c r="E390" s="4"/>
    </row>
    <row r="391" spans="2:5" x14ac:dyDescent="0.35">
      <c r="B391" s="4"/>
      <c r="C391" s="4"/>
      <c r="D391" s="4"/>
      <c r="E391" s="4"/>
    </row>
    <row r="392" spans="2:5" x14ac:dyDescent="0.35">
      <c r="B392" s="4"/>
      <c r="C392" s="4"/>
      <c r="D392" s="4"/>
      <c r="E392" s="4"/>
    </row>
    <row r="393" spans="2:5" x14ac:dyDescent="0.35">
      <c r="B393" s="4"/>
      <c r="C393" s="4"/>
      <c r="D393" s="4"/>
      <c r="E393" s="4"/>
    </row>
    <row r="394" spans="2:5" x14ac:dyDescent="0.35">
      <c r="B394" s="4"/>
      <c r="C394" s="4"/>
      <c r="D394" s="4"/>
      <c r="E394" s="4"/>
    </row>
    <row r="395" spans="2:5" x14ac:dyDescent="0.35">
      <c r="B395" s="4"/>
      <c r="C395" s="4"/>
      <c r="D395" s="4"/>
      <c r="E395" s="4"/>
    </row>
    <row r="396" spans="2:5" x14ac:dyDescent="0.35">
      <c r="B396" s="4"/>
      <c r="C396" s="4"/>
      <c r="D396" s="4"/>
      <c r="E396" s="4"/>
    </row>
    <row r="397" spans="2:5" x14ac:dyDescent="0.35">
      <c r="B397" s="4"/>
      <c r="C397" s="4"/>
      <c r="D397" s="4"/>
      <c r="E397" s="4"/>
    </row>
    <row r="398" spans="2:5" x14ac:dyDescent="0.35">
      <c r="B398" s="4"/>
      <c r="C398" s="4"/>
      <c r="D398" s="4"/>
      <c r="E398" s="4"/>
    </row>
    <row r="399" spans="2:5" x14ac:dyDescent="0.35">
      <c r="B399" s="4"/>
      <c r="C399" s="4"/>
      <c r="D399" s="4"/>
      <c r="E399" s="4"/>
    </row>
    <row r="400" spans="2:5" x14ac:dyDescent="0.35">
      <c r="B400" s="4"/>
      <c r="C400" s="4"/>
      <c r="D400" s="4"/>
      <c r="E400" s="4"/>
    </row>
    <row r="401" spans="2:5" x14ac:dyDescent="0.35">
      <c r="B401" s="4"/>
      <c r="C401" s="4"/>
      <c r="D401" s="4"/>
      <c r="E401" s="4"/>
    </row>
    <row r="402" spans="2:5" x14ac:dyDescent="0.35">
      <c r="B402" s="4"/>
      <c r="C402" s="4"/>
      <c r="D402" s="4"/>
      <c r="E402" s="4"/>
    </row>
    <row r="403" spans="2:5" x14ac:dyDescent="0.35">
      <c r="B403" s="4"/>
      <c r="C403" s="4"/>
      <c r="D403" s="4"/>
      <c r="E403" s="4"/>
    </row>
    <row r="404" spans="2:5" x14ac:dyDescent="0.35">
      <c r="B404" s="4"/>
      <c r="C404" s="4"/>
      <c r="D404" s="4"/>
      <c r="E404" s="4"/>
    </row>
    <row r="405" spans="2:5" x14ac:dyDescent="0.35">
      <c r="B405" s="4"/>
      <c r="C405" s="4"/>
      <c r="D405" s="4"/>
      <c r="E405" s="4"/>
    </row>
    <row r="406" spans="2:5" x14ac:dyDescent="0.35">
      <c r="B406" s="4"/>
      <c r="C406" s="4"/>
      <c r="D406" s="4"/>
      <c r="E406" s="4"/>
    </row>
    <row r="407" spans="2:5" x14ac:dyDescent="0.35">
      <c r="B407" s="4"/>
      <c r="C407" s="4"/>
      <c r="D407" s="4"/>
      <c r="E407" s="4"/>
    </row>
    <row r="408" spans="2:5" x14ac:dyDescent="0.35">
      <c r="B408" s="4"/>
      <c r="C408" s="4"/>
      <c r="D408" s="4"/>
      <c r="E408" s="4"/>
    </row>
    <row r="409" spans="2:5" x14ac:dyDescent="0.35">
      <c r="B409" s="4"/>
      <c r="C409" s="4"/>
      <c r="D409" s="4"/>
      <c r="E409" s="4"/>
    </row>
    <row r="410" spans="2:5" x14ac:dyDescent="0.35">
      <c r="B410" s="4"/>
      <c r="C410" s="4"/>
      <c r="D410" s="4"/>
      <c r="E410" s="4"/>
    </row>
    <row r="411" spans="2:5" x14ac:dyDescent="0.35">
      <c r="B411" s="4"/>
      <c r="C411" s="4"/>
      <c r="D411" s="4"/>
      <c r="E411" s="4"/>
    </row>
    <row r="412" spans="2:5" x14ac:dyDescent="0.35">
      <c r="B412" s="4"/>
      <c r="C412" s="4"/>
      <c r="D412" s="4"/>
      <c r="E412" s="4"/>
    </row>
    <row r="413" spans="2:5" x14ac:dyDescent="0.35">
      <c r="B413" s="4"/>
      <c r="C413" s="4"/>
      <c r="D413" s="4"/>
      <c r="E413" s="4"/>
    </row>
    <row r="414" spans="2:5" x14ac:dyDescent="0.35">
      <c r="B414" s="4"/>
      <c r="C414" s="4"/>
      <c r="D414" s="4"/>
      <c r="E414" s="4"/>
    </row>
    <row r="415" spans="2:5" x14ac:dyDescent="0.35">
      <c r="B415" s="4"/>
      <c r="C415" s="4"/>
      <c r="D415" s="4"/>
      <c r="E415" s="4"/>
    </row>
    <row r="416" spans="2:5" x14ac:dyDescent="0.35">
      <c r="B416" s="4"/>
      <c r="C416" s="4"/>
      <c r="D416" s="4"/>
      <c r="E416" s="4"/>
    </row>
    <row r="417" spans="2:5" x14ac:dyDescent="0.35">
      <c r="B417" s="4"/>
      <c r="C417" s="4"/>
      <c r="D417" s="4"/>
      <c r="E417" s="4"/>
    </row>
    <row r="418" spans="2:5" x14ac:dyDescent="0.35">
      <c r="B418" s="4"/>
      <c r="C418" s="4"/>
      <c r="D418" s="4"/>
      <c r="E418" s="4"/>
    </row>
    <row r="419" spans="2:5" x14ac:dyDescent="0.35">
      <c r="B419" s="4"/>
      <c r="C419" s="4"/>
      <c r="D419" s="4"/>
      <c r="E419" s="4"/>
    </row>
    <row r="420" spans="2:5" x14ac:dyDescent="0.35">
      <c r="B420" s="4"/>
      <c r="C420" s="4"/>
      <c r="D420" s="4"/>
      <c r="E420" s="4"/>
    </row>
    <row r="421" spans="2:5" x14ac:dyDescent="0.35">
      <c r="B421" s="4"/>
      <c r="C421" s="4"/>
      <c r="D421" s="4"/>
      <c r="E421" s="4"/>
    </row>
    <row r="422" spans="2:5" x14ac:dyDescent="0.35">
      <c r="B422" s="4"/>
      <c r="C422" s="4"/>
      <c r="D422" s="4"/>
      <c r="E422" s="4"/>
    </row>
    <row r="423" spans="2:5" x14ac:dyDescent="0.35">
      <c r="B423" s="4"/>
      <c r="C423" s="4"/>
      <c r="D423" s="4"/>
      <c r="E423" s="4"/>
    </row>
    <row r="424" spans="2:5" x14ac:dyDescent="0.35">
      <c r="B424" s="4"/>
      <c r="C424" s="4"/>
      <c r="D424" s="4"/>
      <c r="E424" s="4"/>
    </row>
    <row r="425" spans="2:5" x14ac:dyDescent="0.35">
      <c r="B425" s="4"/>
      <c r="C425" s="4"/>
      <c r="D425" s="4"/>
      <c r="E425" s="4"/>
    </row>
    <row r="426" spans="2:5" x14ac:dyDescent="0.35">
      <c r="B426" s="4"/>
      <c r="C426" s="4"/>
      <c r="D426" s="4"/>
      <c r="E426" s="4"/>
    </row>
    <row r="427" spans="2:5" x14ac:dyDescent="0.35">
      <c r="B427" s="4"/>
      <c r="C427" s="4"/>
      <c r="D427" s="4"/>
      <c r="E427" s="4"/>
    </row>
    <row r="428" spans="2:5" x14ac:dyDescent="0.35">
      <c r="B428" s="4"/>
      <c r="C428" s="4"/>
      <c r="D428" s="4"/>
      <c r="E428" s="4"/>
    </row>
    <row r="429" spans="2:5" x14ac:dyDescent="0.35">
      <c r="B429" s="4"/>
      <c r="C429" s="4"/>
      <c r="D429" s="4"/>
      <c r="E429" s="4"/>
    </row>
    <row r="430" spans="2:5" x14ac:dyDescent="0.35">
      <c r="B430" s="4"/>
      <c r="C430" s="4"/>
      <c r="D430" s="4"/>
      <c r="E430" s="4"/>
    </row>
    <row r="431" spans="2:5" x14ac:dyDescent="0.35">
      <c r="B431" s="4"/>
      <c r="C431" s="4"/>
      <c r="D431" s="4"/>
      <c r="E431" s="4"/>
    </row>
    <row r="432" spans="2:5" x14ac:dyDescent="0.35">
      <c r="B432" s="4"/>
      <c r="C432" s="4"/>
      <c r="D432" s="4"/>
      <c r="E432" s="4"/>
    </row>
    <row r="433" spans="2:5" x14ac:dyDescent="0.35">
      <c r="B433" s="4"/>
      <c r="C433" s="4"/>
      <c r="D433" s="4"/>
      <c r="E433" s="4"/>
    </row>
    <row r="434" spans="2:5" x14ac:dyDescent="0.35">
      <c r="B434" s="4"/>
      <c r="C434" s="4"/>
      <c r="D434" s="4"/>
      <c r="E434" s="4"/>
    </row>
    <row r="435" spans="2:5" x14ac:dyDescent="0.35">
      <c r="B435" s="4"/>
      <c r="C435" s="4"/>
      <c r="D435" s="4"/>
      <c r="E435" s="4"/>
    </row>
    <row r="436" spans="2:5" x14ac:dyDescent="0.35">
      <c r="B436" s="4"/>
      <c r="C436" s="4"/>
      <c r="D436" s="4"/>
      <c r="E436" s="4"/>
    </row>
    <row r="437" spans="2:5" x14ac:dyDescent="0.35">
      <c r="B437" s="4"/>
      <c r="C437" s="4"/>
      <c r="D437" s="4"/>
      <c r="E437" s="4"/>
    </row>
    <row r="438" spans="2:5" x14ac:dyDescent="0.35">
      <c r="B438" s="4"/>
      <c r="C438" s="4"/>
      <c r="D438" s="4"/>
      <c r="E438" s="4"/>
    </row>
    <row r="439" spans="2:5" x14ac:dyDescent="0.35">
      <c r="B439" s="4"/>
      <c r="C439" s="4"/>
      <c r="D439" s="4"/>
      <c r="E439" s="4"/>
    </row>
    <row r="440" spans="2:5" x14ac:dyDescent="0.35">
      <c r="B440" s="4"/>
      <c r="C440" s="4"/>
      <c r="D440" s="4"/>
      <c r="E440" s="4"/>
    </row>
    <row r="441" spans="2:5" x14ac:dyDescent="0.35">
      <c r="B441" s="4"/>
      <c r="C441" s="4"/>
      <c r="D441" s="4"/>
      <c r="E441" s="4"/>
    </row>
    <row r="442" spans="2:5" x14ac:dyDescent="0.35">
      <c r="B442" s="4"/>
      <c r="C442" s="4"/>
      <c r="D442" s="4"/>
      <c r="E442" s="4"/>
    </row>
    <row r="443" spans="2:5" x14ac:dyDescent="0.35">
      <c r="B443" s="4"/>
      <c r="C443" s="4"/>
      <c r="D443" s="4"/>
      <c r="E443" s="4"/>
    </row>
    <row r="444" spans="2:5" x14ac:dyDescent="0.35">
      <c r="B444" s="4"/>
      <c r="C444" s="4"/>
      <c r="D444" s="4"/>
      <c r="E444" s="4"/>
    </row>
    <row r="445" spans="2:5" x14ac:dyDescent="0.35">
      <c r="B445" s="4"/>
      <c r="C445" s="4"/>
      <c r="D445" s="4"/>
      <c r="E445" s="4"/>
    </row>
    <row r="446" spans="2:5" x14ac:dyDescent="0.35">
      <c r="B446" s="4"/>
      <c r="C446" s="4"/>
      <c r="D446" s="4"/>
      <c r="E446" s="4"/>
    </row>
    <row r="447" spans="2:5" x14ac:dyDescent="0.35">
      <c r="B447" s="4"/>
      <c r="C447" s="4"/>
      <c r="D447" s="4"/>
      <c r="E447" s="4"/>
    </row>
    <row r="448" spans="2:5" x14ac:dyDescent="0.35">
      <c r="B448" s="4"/>
      <c r="C448" s="4"/>
      <c r="D448" s="4"/>
      <c r="E448" s="4"/>
    </row>
    <row r="449" spans="2:5" x14ac:dyDescent="0.35">
      <c r="B449" s="4"/>
      <c r="C449" s="4"/>
      <c r="D449" s="4"/>
      <c r="E449" s="4"/>
    </row>
    <row r="450" spans="2:5" x14ac:dyDescent="0.35">
      <c r="B450" s="4"/>
      <c r="C450" s="4"/>
      <c r="D450" s="4"/>
      <c r="E450" s="4"/>
    </row>
    <row r="451" spans="2:5" x14ac:dyDescent="0.35">
      <c r="B451" s="4"/>
      <c r="C451" s="4"/>
      <c r="D451" s="4"/>
      <c r="E451" s="4"/>
    </row>
    <row r="452" spans="2:5" x14ac:dyDescent="0.35">
      <c r="B452" s="4"/>
      <c r="C452" s="4"/>
      <c r="D452" s="4"/>
      <c r="E452" s="4"/>
    </row>
    <row r="453" spans="2:5" x14ac:dyDescent="0.35">
      <c r="B453" s="4"/>
      <c r="C453" s="4"/>
      <c r="D453" s="4"/>
      <c r="E453" s="4"/>
    </row>
    <row r="454" spans="2:5" x14ac:dyDescent="0.35">
      <c r="B454" s="4"/>
      <c r="C454" s="4"/>
      <c r="D454" s="4"/>
      <c r="E454" s="4"/>
    </row>
    <row r="455" spans="2:5" x14ac:dyDescent="0.35">
      <c r="B455" s="4"/>
      <c r="C455" s="4"/>
      <c r="D455" s="4"/>
      <c r="E455" s="4"/>
    </row>
    <row r="456" spans="2:5" x14ac:dyDescent="0.35">
      <c r="B456" s="4"/>
      <c r="C456" s="4"/>
      <c r="D456" s="4"/>
      <c r="E456" s="4"/>
    </row>
    <row r="457" spans="2:5" x14ac:dyDescent="0.35">
      <c r="B457" s="4"/>
      <c r="C457" s="4"/>
      <c r="D457" s="4"/>
      <c r="E457" s="4"/>
    </row>
    <row r="458" spans="2:5" x14ac:dyDescent="0.35">
      <c r="B458" s="4"/>
      <c r="C458" s="4"/>
      <c r="D458" s="4"/>
      <c r="E458" s="4"/>
    </row>
    <row r="459" spans="2:5" x14ac:dyDescent="0.35">
      <c r="B459" s="4"/>
      <c r="C459" s="4"/>
      <c r="D459" s="4"/>
      <c r="E459" s="4"/>
    </row>
    <row r="460" spans="2:5" x14ac:dyDescent="0.35">
      <c r="B460" s="4"/>
      <c r="C460" s="4"/>
      <c r="D460" s="4"/>
      <c r="E460" s="4"/>
    </row>
    <row r="461" spans="2:5" x14ac:dyDescent="0.35">
      <c r="B461" s="4"/>
      <c r="C461" s="4"/>
      <c r="D461" s="4"/>
      <c r="E461" s="4"/>
    </row>
    <row r="462" spans="2:5" x14ac:dyDescent="0.35">
      <c r="B462" s="4"/>
      <c r="C462" s="4"/>
      <c r="D462" s="4"/>
      <c r="E462" s="4"/>
    </row>
    <row r="463" spans="2:5" x14ac:dyDescent="0.35">
      <c r="B463" s="4"/>
      <c r="C463" s="4"/>
      <c r="D463" s="4"/>
      <c r="E463" s="4"/>
    </row>
    <row r="464" spans="2:5" x14ac:dyDescent="0.35">
      <c r="B464" s="4"/>
      <c r="C464" s="4"/>
      <c r="D464" s="4"/>
      <c r="E464" s="4"/>
    </row>
    <row r="465" spans="2:5" x14ac:dyDescent="0.35">
      <c r="B465" s="4"/>
      <c r="C465" s="4"/>
      <c r="D465" s="4"/>
      <c r="E465" s="4"/>
    </row>
    <row r="466" spans="2:5" x14ac:dyDescent="0.35">
      <c r="B466" s="4"/>
      <c r="C466" s="4"/>
      <c r="D466" s="4"/>
      <c r="E466" s="4"/>
    </row>
    <row r="467" spans="2:5" x14ac:dyDescent="0.35">
      <c r="B467" s="4"/>
      <c r="C467" s="4"/>
      <c r="D467" s="4"/>
      <c r="E467" s="4"/>
    </row>
    <row r="468" spans="2:5" x14ac:dyDescent="0.35">
      <c r="B468" s="4"/>
      <c r="C468" s="4"/>
      <c r="D468" s="4"/>
      <c r="E468" s="4"/>
    </row>
    <row r="469" spans="2:5" x14ac:dyDescent="0.35">
      <c r="B469" s="4"/>
      <c r="C469" s="4"/>
      <c r="D469" s="4"/>
      <c r="E469" s="4"/>
    </row>
    <row r="470" spans="2:5" x14ac:dyDescent="0.35">
      <c r="B470" s="4"/>
      <c r="C470" s="4"/>
      <c r="D470" s="4"/>
      <c r="E470" s="4"/>
    </row>
    <row r="471" spans="2:5" x14ac:dyDescent="0.35">
      <c r="B471" s="4"/>
      <c r="C471" s="4"/>
      <c r="D471" s="4"/>
      <c r="E471" s="4"/>
    </row>
    <row r="472" spans="2:5" x14ac:dyDescent="0.35">
      <c r="B472" s="4"/>
      <c r="C472" s="4"/>
      <c r="D472" s="4"/>
      <c r="E472" s="4"/>
    </row>
    <row r="473" spans="2:5" x14ac:dyDescent="0.35">
      <c r="B473" s="4"/>
      <c r="C473" s="4"/>
      <c r="D473" s="4"/>
      <c r="E473" s="4"/>
    </row>
    <row r="474" spans="2:5" x14ac:dyDescent="0.35">
      <c r="B474" s="4"/>
      <c r="C474" s="4"/>
      <c r="D474" s="4"/>
      <c r="E474" s="4"/>
    </row>
    <row r="475" spans="2:5" x14ac:dyDescent="0.35">
      <c r="B475" s="4"/>
      <c r="C475" s="4"/>
      <c r="D475" s="4"/>
      <c r="E475" s="4"/>
    </row>
    <row r="476" spans="2:5" x14ac:dyDescent="0.35">
      <c r="B476" s="4"/>
      <c r="C476" s="4"/>
      <c r="D476" s="4"/>
      <c r="E476" s="4"/>
    </row>
    <row r="477" spans="2:5" x14ac:dyDescent="0.35">
      <c r="B477" s="4"/>
      <c r="C477" s="4"/>
      <c r="D477" s="4"/>
      <c r="E477" s="4"/>
    </row>
    <row r="478" spans="2:5" x14ac:dyDescent="0.35">
      <c r="B478" s="4"/>
      <c r="C478" s="4"/>
      <c r="D478" s="4"/>
      <c r="E478" s="4"/>
    </row>
    <row r="479" spans="2:5" x14ac:dyDescent="0.35">
      <c r="B479" s="4"/>
      <c r="C479" s="4"/>
      <c r="D479" s="4"/>
      <c r="E479" s="4"/>
    </row>
    <row r="480" spans="2:5" x14ac:dyDescent="0.35">
      <c r="B480" s="4"/>
      <c r="C480" s="4"/>
      <c r="D480" s="4"/>
      <c r="E480" s="4"/>
    </row>
    <row r="481" spans="2:5" x14ac:dyDescent="0.35">
      <c r="B481" s="4"/>
      <c r="C481" s="4"/>
      <c r="D481" s="4"/>
      <c r="E481" s="4"/>
    </row>
    <row r="482" spans="2:5" x14ac:dyDescent="0.35">
      <c r="B482" s="4"/>
      <c r="C482" s="4"/>
      <c r="D482" s="4"/>
      <c r="E482" s="4"/>
    </row>
    <row r="483" spans="2:5" x14ac:dyDescent="0.35">
      <c r="B483" s="4"/>
      <c r="C483" s="4"/>
      <c r="D483" s="4"/>
      <c r="E483" s="4"/>
    </row>
    <row r="484" spans="2:5" x14ac:dyDescent="0.35">
      <c r="B484" s="4"/>
      <c r="C484" s="4"/>
      <c r="D484" s="4"/>
      <c r="E484" s="4"/>
    </row>
    <row r="485" spans="2:5" x14ac:dyDescent="0.35">
      <c r="B485" s="4"/>
      <c r="C485" s="4"/>
      <c r="D485" s="4"/>
      <c r="E485" s="4"/>
    </row>
    <row r="486" spans="2:5" x14ac:dyDescent="0.35">
      <c r="B486" s="4"/>
      <c r="C486" s="4"/>
      <c r="D486" s="4"/>
      <c r="E486" s="4"/>
    </row>
    <row r="487" spans="2:5" x14ac:dyDescent="0.35">
      <c r="B487" s="4"/>
      <c r="C487" s="4"/>
      <c r="D487" s="4"/>
      <c r="E487" s="4"/>
    </row>
    <row r="488" spans="2:5" x14ac:dyDescent="0.35">
      <c r="B488" s="4"/>
      <c r="C488" s="4"/>
      <c r="D488" s="4"/>
      <c r="E488" s="4"/>
    </row>
    <row r="489" spans="2:5" x14ac:dyDescent="0.35">
      <c r="B489" s="4"/>
      <c r="C489" s="4"/>
      <c r="D489" s="4"/>
      <c r="E489" s="4"/>
    </row>
    <row r="490" spans="2:5" x14ac:dyDescent="0.35">
      <c r="B490" s="4"/>
      <c r="C490" s="4"/>
      <c r="D490" s="4"/>
      <c r="E490" s="4"/>
    </row>
    <row r="491" spans="2:5" x14ac:dyDescent="0.35">
      <c r="B491" s="4"/>
      <c r="C491" s="4"/>
      <c r="D491" s="4"/>
      <c r="E491" s="4"/>
    </row>
    <row r="492" spans="2:5" x14ac:dyDescent="0.35">
      <c r="B492" s="4"/>
      <c r="C492" s="4"/>
      <c r="D492" s="4"/>
      <c r="E492" s="4"/>
    </row>
    <row r="493" spans="2:5" x14ac:dyDescent="0.35">
      <c r="B493" s="4"/>
      <c r="C493" s="4"/>
      <c r="D493" s="4"/>
      <c r="E493" s="4"/>
    </row>
    <row r="494" spans="2:5" x14ac:dyDescent="0.35">
      <c r="B494" s="4"/>
      <c r="C494" s="4"/>
      <c r="D494" s="4"/>
      <c r="E494" s="4"/>
    </row>
    <row r="495" spans="2:5" x14ac:dyDescent="0.35">
      <c r="B495" s="4"/>
      <c r="C495" s="4"/>
      <c r="D495" s="4"/>
      <c r="E495" s="4"/>
    </row>
    <row r="496" spans="2:5" x14ac:dyDescent="0.35">
      <c r="B496" s="4"/>
      <c r="C496" s="4"/>
      <c r="D496" s="4"/>
      <c r="E496" s="4"/>
    </row>
    <row r="497" spans="2:5" x14ac:dyDescent="0.35">
      <c r="B497" s="4"/>
      <c r="C497" s="4"/>
      <c r="D497" s="4"/>
      <c r="E497" s="4"/>
    </row>
    <row r="498" spans="2:5" x14ac:dyDescent="0.35">
      <c r="B498" s="4"/>
      <c r="C498" s="4"/>
      <c r="D498" s="4"/>
      <c r="E498" s="4"/>
    </row>
    <row r="499" spans="2:5" x14ac:dyDescent="0.35">
      <c r="B499" s="4"/>
      <c r="C499" s="4"/>
      <c r="D499" s="4"/>
      <c r="E499" s="4"/>
    </row>
    <row r="500" spans="2:5" x14ac:dyDescent="0.35">
      <c r="E500" s="4"/>
    </row>
    <row r="501" spans="2:5" x14ac:dyDescent="0.35">
      <c r="E501" s="4"/>
    </row>
  </sheetData>
  <mergeCells count="1">
    <mergeCell ref="B3:E3"/>
  </mergeCells>
  <pageMargins left="0.70866141732283472" right="0.70866141732283472" top="0.74803149606299213" bottom="0.74803149606299213" header="0.31496062992125984" footer="0.31496062992125984"/>
  <pageSetup paperSize="9" scale="73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2:S1214"/>
  <sheetViews>
    <sheetView tabSelected="1" topLeftCell="A4" workbookViewId="0">
      <selection activeCell="K35" sqref="K35"/>
    </sheetView>
  </sheetViews>
  <sheetFormatPr baseColWidth="10" defaultRowHeight="14.5" x14ac:dyDescent="0.35"/>
  <cols>
    <col min="1" max="1" width="15.453125" customWidth="1"/>
    <col min="2" max="2" width="9.36328125" bestFit="1" customWidth="1"/>
    <col min="3" max="3" width="10.1796875" bestFit="1" customWidth="1"/>
    <col min="4" max="4" width="11.1796875" bestFit="1" customWidth="1"/>
    <col min="5" max="5" width="10.36328125" customWidth="1"/>
    <col min="7" max="7" width="10.453125" customWidth="1"/>
  </cols>
  <sheetData>
    <row r="2" spans="2:9" ht="15" thickBot="1" x14ac:dyDescent="0.4"/>
    <row r="3" spans="2:9" ht="15" customHeight="1" x14ac:dyDescent="0.35">
      <c r="B3" s="36" t="s">
        <v>9</v>
      </c>
      <c r="C3" s="37"/>
      <c r="D3" s="37"/>
      <c r="E3" s="38"/>
    </row>
    <row r="4" spans="2:9" ht="15.75" customHeight="1" thickBot="1" x14ac:dyDescent="0.4">
      <c r="B4" s="39"/>
      <c r="C4" s="40"/>
      <c r="D4" s="40"/>
      <c r="E4" s="41"/>
    </row>
    <row r="7" spans="2:9" x14ac:dyDescent="0.35">
      <c r="B7" s="6" t="s">
        <v>5</v>
      </c>
      <c r="C7" s="6" t="s">
        <v>12</v>
      </c>
      <c r="D7" s="6" t="s">
        <v>13</v>
      </c>
      <c r="E7" s="21" t="s">
        <v>17</v>
      </c>
    </row>
    <row r="8" spans="2:9" x14ac:dyDescent="0.35">
      <c r="B8" s="4" t="str">
        <f>IF(Base_de_donnee_articles!B8="","",Base_de_donnee_articles!B8)</f>
        <v xml:space="preserve">blanc de poulet </v>
      </c>
      <c r="C8" s="8">
        <f>Etat_des_stocks!G8*Base_de_donnee_articles!D8</f>
        <v>0</v>
      </c>
      <c r="D8" s="26">
        <f>Etat_des_stocks!F8*Base_de_donnee_articles!D8</f>
        <v>0</v>
      </c>
      <c r="E8" s="4" t="str">
        <f>IF(Base_de_donnee_articles!E8="","",Base_de_donnee_articles!E8)</f>
        <v>PDJ</v>
      </c>
    </row>
    <row r="9" spans="2:9" ht="15" thickBot="1" x14ac:dyDescent="0.4">
      <c r="B9" s="4" t="str">
        <f>IF(Base_de_donnee_articles!B9="","",Base_de_donnee_articles!B9)</f>
        <v>expresso graindor</v>
      </c>
      <c r="C9" s="8">
        <f>Etat_des_stocks!G9*Base_de_donnee_articles!D9</f>
        <v>0</v>
      </c>
      <c r="D9" s="26">
        <f>Etat_des_stocks!F9*Base_de_donnee_articles!D9</f>
        <v>0</v>
      </c>
      <c r="E9" s="4" t="str">
        <f>IF(Base_de_donnee_articles!E9="","",Base_de_donnee_articles!E9)</f>
        <v>PDJ</v>
      </c>
    </row>
    <row r="10" spans="2:9" ht="15" thickBot="1" x14ac:dyDescent="0.4">
      <c r="B10" s="4" t="str">
        <f>IF(Base_de_donnee_articles!B10="","",Base_de_donnee_articles!B10)</f>
        <v xml:space="preserve">pruneaux agen </v>
      </c>
      <c r="C10" s="8">
        <f>Etat_des_stocks!G10*Base_de_donnee_articles!D10</f>
        <v>0</v>
      </c>
      <c r="D10" s="26">
        <f>Etat_des_stocks!F10*Base_de_donnee_articles!D10</f>
        <v>0</v>
      </c>
      <c r="E10" s="4" t="str">
        <f>IF(Base_de_donnee_articles!E10="","",Base_de_donnee_articles!E10)</f>
        <v>PDJ</v>
      </c>
      <c r="G10" s="44" t="s">
        <v>14</v>
      </c>
      <c r="H10" s="10" t="s">
        <v>12</v>
      </c>
      <c r="I10" s="12">
        <f>SUMIF(E8:E500,"PDJ",C8:C500)+SUMIF(J24:J415,"PDJ",H24:H633)</f>
        <v>0</v>
      </c>
    </row>
    <row r="11" spans="2:9" ht="15" thickBot="1" x14ac:dyDescent="0.4">
      <c r="B11" s="4" t="str">
        <f>IF(Base_de_donnee_articles!B11="","",Base_de_donnee_articles!B11)</f>
        <v>camembert</v>
      </c>
      <c r="C11" s="8">
        <f>Etat_des_stocks!G11*Base_de_donnee_articles!D11</f>
        <v>0</v>
      </c>
      <c r="D11" s="26">
        <f>Etat_des_stocks!F11*Base_de_donnee_articles!D11</f>
        <v>0</v>
      </c>
      <c r="E11" s="4" t="str">
        <f>IF(Base_de_donnee_articles!E11="","",Base_de_donnee_articles!E11)</f>
        <v>PDJ</v>
      </c>
      <c r="G11" s="45"/>
      <c r="H11" s="11" t="s">
        <v>13</v>
      </c>
      <c r="I11" s="12">
        <f>SUMIF($E$8:$E501,"PDJ",$D$8:$D501)+SUMIF($J$24:$J416,"PDJ",$I$24:$I634)</f>
        <v>0</v>
      </c>
    </row>
    <row r="12" spans="2:9" ht="15" thickBot="1" x14ac:dyDescent="0.4">
      <c r="B12" s="4" t="str">
        <f>IF(Base_de_donnee_articles!B12="","",Base_de_donnee_articles!B12)</f>
        <v>activia nature</v>
      </c>
      <c r="C12" s="8">
        <f>Etat_des_stocks!G12*Base_de_donnee_articles!D12</f>
        <v>0</v>
      </c>
      <c r="D12" s="26">
        <f>Etat_des_stocks!F12*Base_de_donnee_articles!D12</f>
        <v>0</v>
      </c>
      <c r="E12" s="4" t="str">
        <f>IF(Base_de_donnee_articles!E12="","",Base_de_donnee_articles!E12)</f>
        <v>PDJ</v>
      </c>
    </row>
    <row r="13" spans="2:9" ht="15" thickBot="1" x14ac:dyDescent="0.4">
      <c r="B13" s="4" t="str">
        <f>IF(Base_de_donnee_articles!B13="","",Base_de_donnee_articles!B13)</f>
        <v>activia fruits panaché</v>
      </c>
      <c r="C13" s="8">
        <f>Etat_des_stocks!G13*Base_de_donnee_articles!D13</f>
        <v>0</v>
      </c>
      <c r="D13" s="26">
        <f>Etat_des_stocks!F13*Base_de_donnee_articles!D13</f>
        <v>0</v>
      </c>
      <c r="E13" s="4" t="str">
        <f>IF(Base_de_donnee_articles!E13="","",Base_de_donnee_articles!E13)</f>
        <v>PDJ</v>
      </c>
      <c r="G13" s="44" t="s">
        <v>16</v>
      </c>
      <c r="H13" s="10" t="s">
        <v>12</v>
      </c>
      <c r="I13" s="12">
        <f>SUMIF(E8:E503,"Liquide",C8:C503)+SUMIF(J24:J418,"Liquide",H24:H636)</f>
        <v>0</v>
      </c>
    </row>
    <row r="14" spans="2:9" ht="15" thickBot="1" x14ac:dyDescent="0.4">
      <c r="B14" s="4" t="str">
        <f>IF(Base_de_donnee_articles!B14="","",Base_de_donnee_articles!B14)</f>
        <v>vinaigre blanc</v>
      </c>
      <c r="C14" s="8">
        <f>Etat_des_stocks!G14*Base_de_donnee_articles!D14</f>
        <v>0</v>
      </c>
      <c r="D14" s="26">
        <f>Etat_des_stocks!F14*Base_de_donnee_articles!D14</f>
        <v>0</v>
      </c>
      <c r="E14" s="4" t="str">
        <f>IF(Base_de_donnee_articles!E14="","",Base_de_donnee_articles!E14)</f>
        <v>Entretien</v>
      </c>
      <c r="G14" s="45"/>
      <c r="H14" s="11" t="s">
        <v>13</v>
      </c>
      <c r="I14" s="12">
        <f>SUMIF($E$8:$E501,"Liquide",$D$8:$D501)+SUMIF($J$24:$J416,"Liquide",$I$24:$I634)</f>
        <v>0</v>
      </c>
    </row>
    <row r="15" spans="2:9" ht="15" thickBot="1" x14ac:dyDescent="0.4">
      <c r="B15" s="4" t="str">
        <f>IF(Base_de_donnee_articles!B15="","",Base_de_donnee_articles!B15)</f>
        <v xml:space="preserve">jambon cuit torchon sup </v>
      </c>
      <c r="C15" s="8">
        <f>Etat_des_stocks!G15*Base_de_donnee_articles!D15</f>
        <v>0</v>
      </c>
      <c r="D15" s="26">
        <f>Etat_des_stocks!F15*Base_de_donnee_articles!D15</f>
        <v>0</v>
      </c>
      <c r="E15" s="4" t="str">
        <f>IF(Base_de_donnee_articles!E15="","",Base_de_donnee_articles!E15)</f>
        <v>PDJ</v>
      </c>
    </row>
    <row r="16" spans="2:9" ht="15" thickBot="1" x14ac:dyDescent="0.4">
      <c r="B16" s="4" t="str">
        <f>IF(Base_de_donnee_articles!B16="","",Base_de_donnee_articles!B16)</f>
        <v>saucisses fumées</v>
      </c>
      <c r="C16" s="8">
        <f>Etat_des_stocks!G16*Base_de_donnee_articles!D16</f>
        <v>0</v>
      </c>
      <c r="D16" s="26">
        <f>Etat_des_stocks!F16*Base_de_donnee_articles!D16</f>
        <v>0</v>
      </c>
      <c r="E16" s="4" t="str">
        <f>IF(Base_de_donnee_articles!E16="","",Base_de_donnee_articles!E16)</f>
        <v>PDJ</v>
      </c>
      <c r="G16" s="44" t="s">
        <v>20</v>
      </c>
      <c r="H16" s="10" t="s">
        <v>12</v>
      </c>
      <c r="I16" s="12">
        <f>SUMIF(E8:E506,"Entretien",C8:C506)+SUMIF(J24:J421,"Entretien",H24:H639)</f>
        <v>0</v>
      </c>
    </row>
    <row r="17" spans="2:19" ht="15" thickBot="1" x14ac:dyDescent="0.4">
      <c r="B17" s="4" t="str">
        <f>IF(Base_de_donnee_articles!B17="","",Base_de_donnee_articles!B17)</f>
        <v>œufs brouillés</v>
      </c>
      <c r="C17" s="8">
        <f>Etat_des_stocks!G17*Base_de_donnee_articles!D17</f>
        <v>0</v>
      </c>
      <c r="D17" s="26">
        <f>Etat_des_stocks!F17*Base_de_donnee_articles!D17</f>
        <v>0</v>
      </c>
      <c r="E17" s="4" t="str">
        <f>IF(Base_de_donnee_articles!E17="","",Base_de_donnee_articles!E17)</f>
        <v>PDJ</v>
      </c>
      <c r="G17" s="45"/>
      <c r="H17" s="11" t="s">
        <v>13</v>
      </c>
      <c r="I17" s="12">
        <f>SUMIF($E$8:$E501,"Entretien",$D$8:$D501)+SUMIF($J$24:$J416,"Entretien",$I$24:$I634)</f>
        <v>0</v>
      </c>
    </row>
    <row r="18" spans="2:19" ht="15" thickBot="1" x14ac:dyDescent="0.4">
      <c r="B18" s="4" t="str">
        <f>IF(Base_de_donnee_articles!B18="","",Base_de_donnee_articles!B18)</f>
        <v>nescafé sélection</v>
      </c>
      <c r="C18" s="8">
        <f>Etat_des_stocks!G18*Base_de_donnee_articles!D18</f>
        <v>0</v>
      </c>
      <c r="D18" s="26">
        <f>Etat_des_stocks!F18*Base_de_donnee_articles!D18</f>
        <v>0</v>
      </c>
      <c r="E18" s="4" t="str">
        <f>IF(Base_de_donnee_articles!E18="","",Base_de_donnee_articles!E18)</f>
        <v>PDT Accueil</v>
      </c>
      <c r="L18" t="s">
        <v>31</v>
      </c>
      <c r="N18" t="s">
        <v>24</v>
      </c>
      <c r="P18" t="s">
        <v>27</v>
      </c>
      <c r="R18" t="s">
        <v>32</v>
      </c>
    </row>
    <row r="19" spans="2:19" ht="15" thickBot="1" x14ac:dyDescent="0.4">
      <c r="B19" s="4" t="str">
        <f>IF(Base_de_donnee_articles!B19="","",Base_de_donnee_articles!B19)</f>
        <v>nescafé sélection DK</v>
      </c>
      <c r="C19" s="8">
        <f>Etat_des_stocks!G19*Base_de_donnee_articles!D19</f>
        <v>0</v>
      </c>
      <c r="D19" s="26">
        <f>Etat_des_stocks!F19*Base_de_donnee_articles!D19</f>
        <v>0</v>
      </c>
      <c r="E19" s="4" t="str">
        <f>IF(Base_de_donnee_articles!E19="","",Base_de_donnee_articles!E19)</f>
        <v>PDT Accueil</v>
      </c>
      <c r="G19" s="46" t="s">
        <v>21</v>
      </c>
      <c r="H19" s="10" t="s">
        <v>12</v>
      </c>
      <c r="I19" s="12">
        <f>SUMIF(E8:E509,"PDT Accueil",C8:C509)+SUMIF(J24:J424,"PDT Accueil",H24:H642)</f>
        <v>0</v>
      </c>
      <c r="L19" t="s">
        <v>30</v>
      </c>
      <c r="M19" t="s">
        <v>13</v>
      </c>
      <c r="N19" t="s">
        <v>30</v>
      </c>
      <c r="O19" t="s">
        <v>13</v>
      </c>
      <c r="P19" t="s">
        <v>30</v>
      </c>
      <c r="Q19" t="s">
        <v>13</v>
      </c>
      <c r="R19" t="s">
        <v>30</v>
      </c>
      <c r="S19" t="s">
        <v>13</v>
      </c>
    </row>
    <row r="20" spans="2:19" ht="15" thickBot="1" x14ac:dyDescent="0.4">
      <c r="B20" s="4" t="str">
        <f>IF(Base_de_donnee_articles!B20="","",Base_de_donnee_articles!B20)</f>
        <v>eau de source 1,5l cristaline</v>
      </c>
      <c r="C20" s="8">
        <f>Etat_des_stocks!G20*Base_de_donnee_articles!D20</f>
        <v>0</v>
      </c>
      <c r="D20" s="26">
        <f>Etat_des_stocks!F20*Base_de_donnee_articles!D20</f>
        <v>0</v>
      </c>
      <c r="E20" s="4" t="str">
        <f>IF(Base_de_donnee_articles!E20="","",Base_de_donnee_articles!E20)</f>
        <v>Liquide</v>
      </c>
      <c r="G20" s="47"/>
      <c r="H20" s="11" t="s">
        <v>13</v>
      </c>
      <c r="I20" s="12">
        <f>SUMIF($E$8:$E501,"PDT Accueil",$D$8:$D501)+SUMIF($J$24:$J416,"PDT Acceuil",$I$24:$I634)</f>
        <v>0</v>
      </c>
      <c r="L20" s="27"/>
      <c r="M20" s="27"/>
      <c r="N20" s="27"/>
      <c r="O20" s="27"/>
      <c r="P20" s="27"/>
      <c r="Q20" s="27"/>
      <c r="R20" s="27"/>
      <c r="S20" s="27"/>
    </row>
    <row r="21" spans="2:19" x14ac:dyDescent="0.35">
      <c r="B21" s="4" t="str">
        <f>IF(Base_de_donnee_articles!B21="","",Base_de_donnee_articles!B21)</f>
        <v>eau de source 50cl cristaline</v>
      </c>
      <c r="C21" s="8">
        <f>Etat_des_stocks!G21*Base_de_donnee_articles!D21</f>
        <v>0</v>
      </c>
      <c r="D21" s="26">
        <f>Etat_des_stocks!F21*Base_de_donnee_articles!D21</f>
        <v>0</v>
      </c>
      <c r="E21" s="4" t="str">
        <f>IF(Base_de_donnee_articles!E21="","",Base_de_donnee_articles!E21)</f>
        <v>PDT Accueil</v>
      </c>
      <c r="L21" s="27"/>
      <c r="M21" s="27"/>
      <c r="N21" s="27"/>
      <c r="O21" s="27"/>
      <c r="P21" s="27"/>
      <c r="Q21" s="27"/>
      <c r="R21" s="27"/>
      <c r="S21" s="27"/>
    </row>
    <row r="22" spans="2:19" x14ac:dyDescent="0.35">
      <c r="B22" s="4" t="str">
        <f>IF(Base_de_donnee_articles!B22="","",Base_de_donnee_articles!B22)</f>
        <v>biere 25cl heineken</v>
      </c>
      <c r="C22" s="8">
        <f>Etat_des_stocks!G22*Base_de_donnee_articles!D22</f>
        <v>0</v>
      </c>
      <c r="D22" s="26">
        <f>Etat_des_stocks!F22*Base_de_donnee_articles!D22</f>
        <v>0</v>
      </c>
      <c r="E22" s="4" t="str">
        <f>IF(Base_de_donnee_articles!E22="","",Base_de_donnee_articles!E22)</f>
        <v>Liquide</v>
      </c>
      <c r="L22" s="29"/>
      <c r="M22" s="29"/>
      <c r="N22" s="29"/>
      <c r="O22" s="29"/>
      <c r="P22" s="29"/>
      <c r="Q22" s="29"/>
      <c r="R22" s="29"/>
      <c r="S22" s="29"/>
    </row>
    <row r="23" spans="2:19" x14ac:dyDescent="0.35">
      <c r="B23" s="4" t="str">
        <f>IF(Base_de_donnee_articles!B23="","",Base_de_donnee_articles!B23)</f>
        <v>biere cannette 33cl heineken</v>
      </c>
      <c r="C23" s="8">
        <f>Etat_des_stocks!G23*Base_de_donnee_articles!D23</f>
        <v>0</v>
      </c>
      <c r="D23" s="26">
        <f>Etat_des_stocks!F23*Base_de_donnee_articles!D23</f>
        <v>0</v>
      </c>
      <c r="E23" s="4" t="str">
        <f>IF(Base_de_donnee_articles!E23="","",Base_de_donnee_articles!E23)</f>
        <v>Liquide</v>
      </c>
      <c r="G23" s="6" t="s">
        <v>5</v>
      </c>
      <c r="H23" s="6" t="s">
        <v>33</v>
      </c>
      <c r="I23" s="6" t="s">
        <v>34</v>
      </c>
      <c r="J23" s="6" t="s">
        <v>17</v>
      </c>
      <c r="L23" s="29"/>
      <c r="M23" s="29"/>
      <c r="N23" s="29"/>
      <c r="O23" s="29"/>
      <c r="P23" s="29"/>
      <c r="Q23" s="29"/>
      <c r="R23" s="29"/>
      <c r="S23" s="29"/>
    </row>
    <row r="24" spans="2:19" x14ac:dyDescent="0.35">
      <c r="B24" s="4" t="str">
        <f>IF(Base_de_donnee_articles!B24="","",Base_de_donnee_articles!B24)</f>
        <v>Tropicana pur premium pomme</v>
      </c>
      <c r="C24" s="8">
        <f>Etat_des_stocks!G24*Base_de_donnee_articles!D24</f>
        <v>0</v>
      </c>
      <c r="D24" s="26">
        <f>Etat_des_stocks!F24*Base_de_donnee_articles!D24</f>
        <v>0</v>
      </c>
      <c r="E24" s="4" t="str">
        <f>IF(Base_de_donnee_articles!E24="","",Base_de_donnee_articles!E24)</f>
        <v>PDJ</v>
      </c>
      <c r="G24" s="4"/>
      <c r="H24" s="8"/>
      <c r="I24" s="8"/>
      <c r="J24" s="4"/>
      <c r="L24" s="29"/>
      <c r="M24" s="29"/>
      <c r="N24" s="29"/>
      <c r="O24" s="29"/>
      <c r="P24" s="29"/>
      <c r="Q24" s="29"/>
      <c r="R24" s="29"/>
      <c r="S24" s="29"/>
    </row>
    <row r="25" spans="2:19" x14ac:dyDescent="0.35">
      <c r="B25" s="4" t="str">
        <f>IF(Base_de_donnee_articles!B25="","",Base_de_donnee_articles!B25)</f>
        <v>tropicana pur premium orange</v>
      </c>
      <c r="C25" s="8">
        <f>Etat_des_stocks!G25*Base_de_donnee_articles!D25</f>
        <v>0</v>
      </c>
      <c r="D25" s="26">
        <f>Etat_des_stocks!F25*Base_de_donnee_articles!D25</f>
        <v>0</v>
      </c>
      <c r="E25" s="4" t="str">
        <f>IF(Base_de_donnee_articles!E25="","",Base_de_donnee_articles!E25)</f>
        <v>PDJ</v>
      </c>
      <c r="G25" s="4"/>
      <c r="H25" s="8"/>
      <c r="I25" s="8"/>
      <c r="J25" s="4"/>
    </row>
    <row r="26" spans="2:19" x14ac:dyDescent="0.35">
      <c r="B26" s="4" t="str">
        <f>IF(Base_de_donnee_articles!B26="","",Base_de_donnee_articles!B26)</f>
        <v>canderel stick 05,g x250</v>
      </c>
      <c r="C26" s="8">
        <f>Etat_des_stocks!G26*Base_de_donnee_articles!D26</f>
        <v>0</v>
      </c>
      <c r="D26" s="26">
        <f>Etat_des_stocks!F26*Base_de_donnee_articles!D26</f>
        <v>0</v>
      </c>
      <c r="E26" s="4" t="str">
        <f>IF(Base_de_donnee_articles!E26="","",Base_de_donnee_articles!E26)</f>
        <v>PDJ</v>
      </c>
      <c r="G26" s="4"/>
      <c r="H26" s="8"/>
      <c r="I26" s="8"/>
      <c r="J26" s="4"/>
    </row>
    <row r="27" spans="2:19" x14ac:dyDescent="0.35">
      <c r="B27" s="4" t="str">
        <f>IF(Base_de_donnee_articles!B27="","",Base_de_donnee_articles!B27)</f>
        <v>café filtre Baccara  x36 Miko</v>
      </c>
      <c r="C27" s="8">
        <f>Etat_des_stocks!G27*Base_de_donnee_articles!D27</f>
        <v>0</v>
      </c>
      <c r="D27" s="26">
        <f>Etat_des_stocks!F27*Base_de_donnee_articles!D27</f>
        <v>0</v>
      </c>
      <c r="E27" s="4" t="str">
        <f>IF(Base_de_donnee_articles!E27="","",Base_de_donnee_articles!E27)</f>
        <v>PDJ</v>
      </c>
      <c r="G27" s="4"/>
      <c r="H27" s="8"/>
      <c r="I27" s="28"/>
      <c r="J27" s="4"/>
    </row>
    <row r="28" spans="2:19" x14ac:dyDescent="0.35">
      <c r="B28" s="4" t="str">
        <f>IF(Base_de_donnee_articles!B28="","",Base_de_donnee_articles!B28)</f>
        <v>pain sandu nature 14t x550g</v>
      </c>
      <c r="C28" s="8">
        <f>Etat_des_stocks!G28*Base_de_donnee_articles!D28</f>
        <v>0</v>
      </c>
      <c r="D28" s="26">
        <f>Etat_des_stocks!F28*Base_de_donnee_articles!D28</f>
        <v>0</v>
      </c>
      <c r="E28" s="4" t="str">
        <f>IF(Base_de_donnee_articles!E28="","",Base_de_donnee_articles!E28)</f>
        <v>PDJ</v>
      </c>
      <c r="G28" s="4"/>
      <c r="H28" s="28"/>
      <c r="I28" s="28"/>
      <c r="J28" s="4"/>
    </row>
    <row r="29" spans="2:19" x14ac:dyDescent="0.35">
      <c r="B29" s="4" t="str">
        <f>IF(Base_de_donnee_articles!B29="","",Base_de_donnee_articles!B29)</f>
        <v>dattes</v>
      </c>
      <c r="C29" s="8">
        <f>Etat_des_stocks!G29*Base_de_donnee_articles!D29</f>
        <v>0</v>
      </c>
      <c r="D29" s="26">
        <f>Etat_des_stocks!F29*Base_de_donnee_articles!D29</f>
        <v>0</v>
      </c>
      <c r="E29" s="4" t="str">
        <f>IF(Base_de_donnee_articles!E29="","",Base_de_donnee_articles!E29)</f>
        <v>PDJ</v>
      </c>
      <c r="G29" s="4"/>
      <c r="H29" s="28"/>
      <c r="I29" s="28"/>
      <c r="J29" s="4"/>
    </row>
    <row r="30" spans="2:19" x14ac:dyDescent="0.35">
      <c r="B30" s="4" t="str">
        <f>IF(Base_de_donnee_articles!B30="","",Base_de_donnee_articles!B30)</f>
        <v>figues moelleuses Prunille</v>
      </c>
      <c r="C30" s="8">
        <f>Etat_des_stocks!G30*Base_de_donnee_articles!D30</f>
        <v>0</v>
      </c>
      <c r="D30" s="26">
        <f>Etat_des_stocks!F30*Base_de_donnee_articles!D30</f>
        <v>0</v>
      </c>
      <c r="E30" s="4" t="str">
        <f>IF(Base_de_donnee_articles!E30="","",Base_de_donnee_articles!E30)</f>
        <v>PDJ</v>
      </c>
      <c r="G30" s="4"/>
      <c r="H30" s="28"/>
      <c r="I30" s="28"/>
      <c r="J30" s="4"/>
    </row>
    <row r="31" spans="2:19" x14ac:dyDescent="0.35">
      <c r="B31" s="4" t="str">
        <f>IF(Base_de_donnee_articles!B31="","",Base_de_donnee_articles!B31)</f>
        <v>abricots moelleux prunille</v>
      </c>
      <c r="C31" s="8">
        <f>Etat_des_stocks!G31*Base_de_donnee_articles!D31</f>
        <v>0</v>
      </c>
      <c r="D31" s="26">
        <f>Etat_des_stocks!F31*Base_de_donnee_articles!D31</f>
        <v>0</v>
      </c>
      <c r="E31" s="4" t="str">
        <f>IF(Base_de_donnee_articles!E31="","",Base_de_donnee_articles!E31)</f>
        <v>PDJ</v>
      </c>
      <c r="G31" s="4"/>
      <c r="H31" s="28"/>
      <c r="I31" s="28"/>
      <c r="J31" s="4"/>
    </row>
    <row r="32" spans="2:19" x14ac:dyDescent="0.35">
      <c r="B32" s="4" t="str">
        <f>IF(Base_de_donnee_articles!B32="","",Base_de_donnee_articles!B32)</f>
        <v>dentelles rect blancs 30x40</v>
      </c>
      <c r="C32" s="8">
        <f>Etat_des_stocks!G32*Base_de_donnee_articles!D32</f>
        <v>0</v>
      </c>
      <c r="D32" s="26">
        <f>Etat_des_stocks!F32*Base_de_donnee_articles!D32</f>
        <v>0</v>
      </c>
      <c r="E32" s="4" t="str">
        <f>IF(Base_de_donnee_articles!E32="","",Base_de_donnee_articles!E32)</f>
        <v>PDJ</v>
      </c>
      <c r="G32" s="4"/>
      <c r="H32" s="28"/>
      <c r="I32" s="28"/>
      <c r="J32" s="4"/>
    </row>
    <row r="33" spans="2:10" x14ac:dyDescent="0.35">
      <c r="B33" s="4" t="str">
        <f>IF(Base_de_donnee_articles!B33="","",Base_de_donnee_articles!B33)</f>
        <v>comté AOP 30gx24 T</v>
      </c>
      <c r="C33" s="8">
        <f>Etat_des_stocks!G33*Base_de_donnee_articles!D33</f>
        <v>0</v>
      </c>
      <c r="D33" s="26">
        <f>Etat_des_stocks!F33*Base_de_donnee_articles!D33</f>
        <v>0</v>
      </c>
      <c r="E33" s="4" t="str">
        <f>IF(Base_de_donnee_articles!E33="","",Base_de_donnee_articles!E33)</f>
        <v>PDJ</v>
      </c>
      <c r="G33" s="4"/>
      <c r="H33" s="34"/>
      <c r="I33" s="34"/>
      <c r="J33" s="4"/>
    </row>
    <row r="34" spans="2:10" x14ac:dyDescent="0.35">
      <c r="B34" s="4" t="str">
        <f>IF(Base_de_donnee_articles!B34="","",Base_de_donnee_articles!B34)</f>
        <v>cantal jeune AOP 30g x24 T</v>
      </c>
      <c r="C34" s="8">
        <f>Etat_des_stocks!G34*Base_de_donnee_articles!D34</f>
        <v>0</v>
      </c>
      <c r="D34" s="26">
        <f>Etat_des_stocks!F34*Base_de_donnee_articles!D34</f>
        <v>0</v>
      </c>
      <c r="E34" s="4" t="str">
        <f>IF(Base_de_donnee_articles!E34="","",Base_de_donnee_articles!E34)</f>
        <v>PDJ</v>
      </c>
      <c r="G34" s="4"/>
      <c r="H34" s="34"/>
      <c r="I34" s="34"/>
      <c r="J34" s="4"/>
    </row>
    <row r="35" spans="2:10" x14ac:dyDescent="0.35">
      <c r="B35" s="4" t="str">
        <f>IF(Base_de_donnee_articles!B35="","",Base_de_donnee_articles!B35)</f>
        <v>lait 1/2 écrémé UHT 1l</v>
      </c>
      <c r="C35" s="8">
        <f>Etat_des_stocks!G35*Base_de_donnee_articles!D35</f>
        <v>0</v>
      </c>
      <c r="D35" s="26">
        <f>Etat_des_stocks!F35*Base_de_donnee_articles!D35</f>
        <v>0</v>
      </c>
      <c r="E35" s="4" t="str">
        <f>IF(Base_de_donnee_articles!E35="","",Base_de_donnee_articles!E35)</f>
        <v>PDJ</v>
      </c>
      <c r="G35" s="4"/>
      <c r="H35" s="34"/>
      <c r="I35" s="34"/>
      <c r="J35" s="4"/>
    </row>
    <row r="36" spans="2:10" x14ac:dyDescent="0.35">
      <c r="B36" s="4" t="str">
        <f>IF(Base_de_donnee_articles!B36="","",Base_de_donnee_articles!B36)</f>
        <v>poudre choco 1 kg Van Houten</v>
      </c>
      <c r="C36" s="8">
        <f>Etat_des_stocks!G36*Base_de_donnee_articles!D36</f>
        <v>0</v>
      </c>
      <c r="D36" s="26">
        <f>Etat_des_stocks!F36*Base_de_donnee_articles!D36</f>
        <v>0</v>
      </c>
      <c r="E36" s="4" t="str">
        <f>IF(Base_de_donnee_articles!E36="","",Base_de_donnee_articles!E36)</f>
        <v>PDJ</v>
      </c>
      <c r="G36" s="4"/>
      <c r="H36" s="34"/>
      <c r="I36" s="34"/>
      <c r="J36" s="4"/>
    </row>
    <row r="37" spans="2:10" x14ac:dyDescent="0.35">
      <c r="B37" s="4" t="str">
        <f>IF(Base_de_donnee_articles!B37="","",Base_de_donnee_articles!B37)</f>
        <v>thé noir caramel  Baronny's</v>
      </c>
      <c r="C37" s="8">
        <f>Etat_des_stocks!G37*Base_de_donnee_articles!D37</f>
        <v>0</v>
      </c>
      <c r="D37" s="26">
        <f>Etat_des_stocks!F37*Base_de_donnee_articles!D37</f>
        <v>0</v>
      </c>
      <c r="E37" s="4" t="str">
        <f>IF(Base_de_donnee_articles!E37="","",Base_de_donnee_articles!E37)</f>
        <v>PDJ</v>
      </c>
      <c r="G37" s="4"/>
      <c r="H37" s="34"/>
      <c r="I37" s="34"/>
      <c r="J37" s="4"/>
    </row>
    <row r="38" spans="2:10" x14ac:dyDescent="0.35">
      <c r="B38" s="4" t="str">
        <f>IF(Base_de_donnee_articles!B38="","",Base_de_donnee_articles!B38)</f>
        <v>the noir Earl Grey  Baronny's</v>
      </c>
      <c r="C38" s="8">
        <f>Etat_des_stocks!G38*Base_de_donnee_articles!D38</f>
        <v>0</v>
      </c>
      <c r="D38" s="26">
        <f>Etat_des_stocks!F38*Base_de_donnee_articles!D38</f>
        <v>0</v>
      </c>
      <c r="E38" s="4" t="str">
        <f>IF(Base_de_donnee_articles!E38="","",Base_de_donnee_articles!E38)</f>
        <v>PDJ</v>
      </c>
      <c r="G38" s="4"/>
      <c r="H38" s="35"/>
      <c r="I38" s="35"/>
      <c r="J38" s="4"/>
    </row>
    <row r="39" spans="2:10" x14ac:dyDescent="0.35">
      <c r="B39" s="4" t="str">
        <f>IF(Base_de_donnee_articles!B39="","",Base_de_donnee_articles!B39)</f>
        <v>Nutella 400g</v>
      </c>
      <c r="C39" s="8">
        <f>Etat_des_stocks!G39*Base_de_donnee_articles!D39</f>
        <v>0</v>
      </c>
      <c r="D39" s="26">
        <f>Etat_des_stocks!F39*Base_de_donnee_articles!D39</f>
        <v>0</v>
      </c>
      <c r="E39" s="4" t="str">
        <f>IF(Base_de_donnee_articles!E39="","",Base_de_donnee_articles!E39)</f>
        <v>PDJ</v>
      </c>
      <c r="G39" s="4"/>
      <c r="H39" s="35"/>
      <c r="I39" s="35"/>
      <c r="J39" s="4"/>
    </row>
    <row r="40" spans="2:10" x14ac:dyDescent="0.35">
      <c r="B40" s="4" t="str">
        <f>IF(Base_de_donnee_articles!B40="","",Base_de_donnee_articles!B40)</f>
        <v>serv, ouate 2F 30x40x200</v>
      </c>
      <c r="C40" s="8">
        <f>Etat_des_stocks!G40*Base_de_donnee_articles!D40</f>
        <v>0</v>
      </c>
      <c r="D40" s="26">
        <f>Etat_des_stocks!F40*Base_de_donnee_articles!D40</f>
        <v>0</v>
      </c>
      <c r="E40" s="4" t="str">
        <f>IF(Base_de_donnee_articles!E40="","",Base_de_donnee_articles!E40)</f>
        <v>PDJ</v>
      </c>
      <c r="G40" s="4"/>
      <c r="H40" s="4"/>
      <c r="I40" s="4"/>
      <c r="J40" s="4"/>
    </row>
    <row r="41" spans="2:10" x14ac:dyDescent="0.35">
      <c r="B41" s="4" t="str">
        <f>IF(Base_de_donnee_articles!B41="","",Base_de_donnee_articles!B41)</f>
        <v>pain mie complet 600 g</v>
      </c>
      <c r="C41" s="8">
        <f>Etat_des_stocks!G41*Base_de_donnee_articles!D41</f>
        <v>0</v>
      </c>
      <c r="D41" s="26">
        <f>Etat_des_stocks!F41*Base_de_donnee_articles!D41</f>
        <v>0</v>
      </c>
      <c r="E41" s="4" t="str">
        <f>IF(Base_de_donnee_articles!E41="","",Base_de_donnee_articles!E41)</f>
        <v>PDJ</v>
      </c>
      <c r="G41" s="4"/>
      <c r="H41" s="4"/>
      <c r="I41" s="4"/>
      <c r="J41" s="4"/>
    </row>
    <row r="42" spans="2:10" x14ac:dyDescent="0.35">
      <c r="B42" s="4" t="str">
        <f>IF(Base_de_donnee_articles!B42="","",Base_de_donnee_articles!B42)</f>
        <v>jambon de dinde 40g x10t</v>
      </c>
      <c r="C42" s="8">
        <f>Etat_des_stocks!G42*Base_de_donnee_articles!D42</f>
        <v>0</v>
      </c>
      <c r="D42" s="26">
        <f>Etat_des_stocks!F42*Base_de_donnee_articles!D42</f>
        <v>0</v>
      </c>
      <c r="E42" s="4" t="str">
        <f>IF(Base_de_donnee_articles!E42="","",Base_de_donnee_articles!E42)</f>
        <v>PDJ</v>
      </c>
      <c r="G42" s="4"/>
      <c r="H42" s="4"/>
      <c r="I42" s="4"/>
      <c r="J42" s="4"/>
    </row>
    <row r="43" spans="2:10" x14ac:dyDescent="0.35">
      <c r="B43" s="4" t="str">
        <f>IF(Base_de_donnee_articles!B43="","",Base_de_donnee_articles!B43)</f>
        <v>fourme d'ambert AOP 24 T</v>
      </c>
      <c r="C43" s="8">
        <f>Etat_des_stocks!G43*Base_de_donnee_articles!D43</f>
        <v>0</v>
      </c>
      <c r="D43" s="26">
        <f>Etat_des_stocks!F43*Base_de_donnee_articles!D43</f>
        <v>0</v>
      </c>
      <c r="E43" s="4" t="str">
        <f>IF(Base_de_donnee_articles!E43="","",Base_de_donnee_articles!E43)</f>
        <v>PDJ</v>
      </c>
      <c r="G43" s="4"/>
      <c r="H43" s="4"/>
      <c r="I43" s="4"/>
      <c r="J43" s="4"/>
    </row>
    <row r="44" spans="2:10" x14ac:dyDescent="0.35">
      <c r="B44" s="4" t="str">
        <f>IF(Base_de_donnee_articles!B44="","",Base_de_donnee_articles!B44)</f>
        <v>pap, hyg, strong x12 écolucart</v>
      </c>
      <c r="C44" s="8">
        <f>Etat_des_stocks!G44*Base_de_donnee_articles!D44</f>
        <v>0</v>
      </c>
      <c r="D44" s="26">
        <f>Etat_des_stocks!F44*Base_de_donnee_articles!D44</f>
        <v>0</v>
      </c>
      <c r="E44" s="4" t="str">
        <f>IF(Base_de_donnee_articles!E44="","",Base_de_donnee_articles!E44)</f>
        <v>PDT Accueil</v>
      </c>
      <c r="G44" s="4"/>
      <c r="H44" s="4"/>
      <c r="I44" s="4"/>
      <c r="J44" s="4"/>
    </row>
    <row r="45" spans="2:10" x14ac:dyDescent="0.35">
      <c r="B45" s="4" t="str">
        <f>IF(Base_de_donnee_articles!B45="","",Base_de_donnee_articles!B45)</f>
        <v>film alim 300 m</v>
      </c>
      <c r="C45" s="8">
        <f>Etat_des_stocks!G45*Base_de_donnee_articles!D45</f>
        <v>0</v>
      </c>
      <c r="D45" s="26">
        <f>Etat_des_stocks!F45*Base_de_donnee_articles!D45</f>
        <v>0</v>
      </c>
      <c r="E45" s="4" t="str">
        <f>IF(Base_de_donnee_articles!E45="","",Base_de_donnee_articles!E45)</f>
        <v>PDJ</v>
      </c>
      <c r="G45" s="4"/>
      <c r="H45" s="4"/>
      <c r="I45" s="4"/>
      <c r="J45" s="4"/>
    </row>
    <row r="46" spans="2:10" x14ac:dyDescent="0.35">
      <c r="B46" s="4" t="str">
        <f>IF(Base_de_donnee_articles!B46="","",Base_de_donnee_articles!B46)</f>
        <v>gobelet sachet ind x250</v>
      </c>
      <c r="C46" s="8">
        <f>Etat_des_stocks!G46*Base_de_donnee_articles!D46</f>
        <v>0</v>
      </c>
      <c r="D46" s="26">
        <f>Etat_des_stocks!F46*Base_de_donnee_articles!D46</f>
        <v>0</v>
      </c>
      <c r="E46" s="4" t="str">
        <f>IF(Base_de_donnee_articles!E46="","",Base_de_donnee_articles!E46)</f>
        <v>PDT Accueil</v>
      </c>
      <c r="G46" s="4"/>
      <c r="H46" s="4"/>
      <c r="I46" s="4"/>
      <c r="J46" s="4"/>
    </row>
    <row r="47" spans="2:10" x14ac:dyDescent="0.35">
      <c r="B47" s="4" t="str">
        <f>IF(Base_de_donnee_articles!B47="","",Base_de_donnee_articles!B47)</f>
        <v>mini bobbons fruit acid 1,4 kg</v>
      </c>
      <c r="C47" s="8">
        <f>Etat_des_stocks!G47*Base_de_donnee_articles!D47</f>
        <v>0</v>
      </c>
      <c r="D47" s="26">
        <f>Etat_des_stocks!F47*Base_de_donnee_articles!D47</f>
        <v>0</v>
      </c>
      <c r="E47" s="4" t="str">
        <f>IF(Base_de_donnee_articles!E47="","",Base_de_donnee_articles!E47)</f>
        <v>PDT Accueil</v>
      </c>
      <c r="G47" s="4"/>
      <c r="H47" s="4"/>
      <c r="I47" s="4"/>
      <c r="J47" s="4"/>
    </row>
    <row r="48" spans="2:10" x14ac:dyDescent="0.35">
      <c r="B48" s="4" t="str">
        <f>IF(Base_de_donnee_articles!B48="","",Base_de_donnee_articles!B48)</f>
        <v>quatre-quarts</v>
      </c>
      <c r="C48" s="8">
        <f>Etat_des_stocks!G48*Base_de_donnee_articles!D48</f>
        <v>0</v>
      </c>
      <c r="D48" s="26">
        <f>Etat_des_stocks!F48*Base_de_donnee_articles!D48</f>
        <v>0</v>
      </c>
      <c r="E48" s="4" t="str">
        <f>IF(Base_de_donnee_articles!E48="","",Base_de_donnee_articles!E48)</f>
        <v>PDJ</v>
      </c>
      <c r="G48" s="4"/>
      <c r="H48" s="4"/>
      <c r="I48" s="4"/>
      <c r="J48" s="4"/>
    </row>
    <row r="49" spans="2:10" x14ac:dyDescent="0.35">
      <c r="B49" s="4" t="str">
        <f>IF(Base_de_donnee_articles!B49="","",Base_de_donnee_articles!B49)</f>
        <v>coca cola 20cl x8</v>
      </c>
      <c r="C49" s="8">
        <f>Etat_des_stocks!G49*Base_de_donnee_articles!D49</f>
        <v>0</v>
      </c>
      <c r="D49" s="26">
        <f>Etat_des_stocks!F49*Base_de_donnee_articles!D49</f>
        <v>0</v>
      </c>
      <c r="E49" s="4" t="str">
        <f>IF(Base_de_donnee_articles!E49="","",Base_de_donnee_articles!E49)</f>
        <v>Liquide</v>
      </c>
      <c r="G49" s="4"/>
      <c r="H49" s="4"/>
      <c r="I49" s="4"/>
      <c r="J49" s="4"/>
    </row>
    <row r="50" spans="2:10" x14ac:dyDescent="0.35">
      <c r="B50" s="4" t="str">
        <f>IF(Base_de_donnee_articles!B50="","",Base_de_donnee_articles!B50)</f>
        <v>coca cola 33 cl canette</v>
      </c>
      <c r="C50" s="8">
        <f>Etat_des_stocks!G50*Base_de_donnee_articles!D50</f>
        <v>0</v>
      </c>
      <c r="D50" s="26">
        <f>Etat_des_stocks!F50*Base_de_donnee_articles!D50</f>
        <v>0</v>
      </c>
      <c r="E50" s="4" t="str">
        <f>IF(Base_de_donnee_articles!E50="","",Base_de_donnee_articles!E50)</f>
        <v>Liquide</v>
      </c>
      <c r="G50" s="4"/>
      <c r="H50" s="4"/>
      <c r="I50" s="4"/>
      <c r="J50" s="4"/>
    </row>
    <row r="51" spans="2:10" x14ac:dyDescent="0.35">
      <c r="B51" s="4" t="str">
        <f>IF(Base_de_donnee_articles!B51="","",Base_de_donnee_articles!B51)</f>
        <v>evian 50cl x6</v>
      </c>
      <c r="C51" s="8">
        <f>Etat_des_stocks!G51*Base_de_donnee_articles!D51</f>
        <v>0</v>
      </c>
      <c r="D51" s="26">
        <f>Etat_des_stocks!F51*Base_de_donnee_articles!D51</f>
        <v>0</v>
      </c>
      <c r="E51" s="4" t="str">
        <f>IF(Base_de_donnee_articles!E51="","",Base_de_donnee_articles!E51)</f>
        <v>Liquide</v>
      </c>
      <c r="G51" s="4"/>
      <c r="H51" s="4"/>
      <c r="I51" s="4"/>
      <c r="J51" s="4"/>
    </row>
    <row r="52" spans="2:10" x14ac:dyDescent="0.35">
      <c r="B52" s="4" t="str">
        <f>IF(Base_de_donnee_articles!B52="","",Base_de_donnee_articles!B52)</f>
        <v>gants jetables latex x100</v>
      </c>
      <c r="C52" s="8">
        <f>Etat_des_stocks!G52*Base_de_donnee_articles!D52</f>
        <v>0</v>
      </c>
      <c r="D52" s="26">
        <f>Etat_des_stocks!F52*Base_de_donnee_articles!D52</f>
        <v>0</v>
      </c>
      <c r="E52" s="4" t="str">
        <f>IF(Base_de_donnee_articles!E52="","",Base_de_donnee_articles!E52)</f>
        <v>Entretien</v>
      </c>
      <c r="G52" s="4"/>
      <c r="H52" s="4"/>
      <c r="I52" s="4"/>
      <c r="J52" s="4"/>
    </row>
    <row r="53" spans="2:10" x14ac:dyDescent="0.35">
      <c r="B53" s="4" t="str">
        <f>IF(Base_de_donnee_articles!B53="","",Base_de_donnee_articles!B53)</f>
        <v>yaourts panier fruits yoplait x4</v>
      </c>
      <c r="C53" s="8">
        <f>Etat_des_stocks!G53*Base_de_donnee_articles!D53</f>
        <v>0</v>
      </c>
      <c r="D53" s="26">
        <f>Etat_des_stocks!F53*Base_de_donnee_articles!D53</f>
        <v>0</v>
      </c>
      <c r="E53" s="4" t="str">
        <f>IF(Base_de_donnee_articles!E53="","",Base_de_donnee_articles!E53)</f>
        <v>PDJ</v>
      </c>
      <c r="G53" s="4"/>
      <c r="H53" s="4"/>
      <c r="I53" s="4"/>
      <c r="J53" s="4"/>
    </row>
    <row r="54" spans="2:10" x14ac:dyDescent="0.35">
      <c r="B54" s="4" t="str">
        <f>IF(Base_de_donnee_articles!B54="","",Base_de_donnee_articles!B54)</f>
        <v>cristaline 50 cl x 24 TG</v>
      </c>
      <c r="C54" s="8">
        <f>Etat_des_stocks!G54*Base_de_donnee_articles!D54</f>
        <v>0</v>
      </c>
      <c r="D54" s="26">
        <f>Etat_des_stocks!F54*Base_de_donnee_articles!D54</f>
        <v>0</v>
      </c>
      <c r="E54" s="4" t="str">
        <f>IF(Base_de_donnee_articles!E54="","",Base_de_donnee_articles!E54)</f>
        <v>PDT Accueil</v>
      </c>
      <c r="G54" s="4"/>
      <c r="H54" s="4"/>
      <c r="I54" s="4"/>
      <c r="J54" s="4"/>
    </row>
    <row r="55" spans="2:10" x14ac:dyDescent="0.35">
      <c r="B55" s="4" t="str">
        <f>IF(Base_de_donnee_articles!B55="","",Base_de_donnee_articles!B55)</f>
        <v>raisin sec sultanine standard 1kg</v>
      </c>
      <c r="C55" s="8">
        <f>Etat_des_stocks!G55*Base_de_donnee_articles!D55</f>
        <v>0</v>
      </c>
      <c r="D55" s="26">
        <f>Etat_des_stocks!F55*Base_de_donnee_articles!D55</f>
        <v>0</v>
      </c>
      <c r="E55" s="4" t="str">
        <f>IF(Base_de_donnee_articles!E55="","",Base_de_donnee_articles!E55)</f>
        <v>PDJ</v>
      </c>
      <c r="G55" s="4"/>
      <c r="H55" s="4"/>
      <c r="I55" s="4"/>
      <c r="J55" s="4"/>
    </row>
    <row r="56" spans="2:10" x14ac:dyDescent="0.35">
      <c r="B56" s="4" t="str">
        <f>IF(Base_de_donnee_articles!B56="","",Base_de_donnee_articles!B56)</f>
        <v>œuf brouillé nature 500g*8 TG</v>
      </c>
      <c r="C56" s="8">
        <f>Etat_des_stocks!G56*Base_de_donnee_articles!D56</f>
        <v>0</v>
      </c>
      <c r="D56" s="26">
        <f>Etat_des_stocks!F56*Base_de_donnee_articles!D56</f>
        <v>0</v>
      </c>
      <c r="E56" s="4" t="str">
        <f>IF(Base_de_donnee_articles!E56="","",Base_de_donnee_articles!E56)</f>
        <v>PDJ</v>
      </c>
      <c r="G56" s="4"/>
      <c r="H56" s="4"/>
      <c r="I56" s="4"/>
      <c r="J56" s="4"/>
    </row>
    <row r="57" spans="2:10" x14ac:dyDescent="0.35">
      <c r="B57" s="4" t="str">
        <f>IF(Base_de_donnee_articles!B57="","",Base_de_donnee_articles!B57)</f>
        <v>activia nature 0% 125g x8 TG</v>
      </c>
      <c r="C57" s="8">
        <f>Etat_des_stocks!G57*Base_de_donnee_articles!D57</f>
        <v>0</v>
      </c>
      <c r="D57" s="26">
        <f>Etat_des_stocks!F57*Base_de_donnee_articles!D57</f>
        <v>0</v>
      </c>
      <c r="E57" s="4" t="str">
        <f>IF(Base_de_donnee_articles!E57="","",Base_de_donnee_articles!E57)</f>
        <v>PDJ</v>
      </c>
      <c r="G57" s="4"/>
      <c r="H57" s="4"/>
      <c r="I57" s="4"/>
      <c r="J57" s="4"/>
    </row>
    <row r="58" spans="2:10" x14ac:dyDescent="0.35">
      <c r="B58" s="4" t="str">
        <f>IF(Base_de_donnee_articles!B58="","",Base_de_donnee_articles!B58)</f>
        <v>mini pain raisin 30g x 160</v>
      </c>
      <c r="C58" s="8">
        <f>Etat_des_stocks!G58*Base_de_donnee_articles!D58</f>
        <v>0</v>
      </c>
      <c r="D58" s="26">
        <f>Etat_des_stocks!F58*Base_de_donnee_articles!D58</f>
        <v>0</v>
      </c>
      <c r="E58" s="4" t="str">
        <f>IF(Base_de_donnee_articles!E58="","",Base_de_donnee_articles!E58)</f>
        <v>PDJ</v>
      </c>
      <c r="G58" s="4"/>
      <c r="H58" s="4"/>
      <c r="I58" s="4"/>
      <c r="J58" s="4"/>
    </row>
    <row r="59" spans="2:10" x14ac:dyDescent="0.35">
      <c r="B59" s="4" t="str">
        <f>IF(Base_de_donnee_articles!B59="","",Base_de_donnee_articles!B59)</f>
        <v>mini pain choco 35g x 210</v>
      </c>
      <c r="C59" s="8">
        <f>Etat_des_stocks!G59*Base_de_donnee_articles!D59</f>
        <v>0</v>
      </c>
      <c r="D59" s="26">
        <f>Etat_des_stocks!F59*Base_de_donnee_articles!D59</f>
        <v>0</v>
      </c>
      <c r="E59" s="4" t="str">
        <f>IF(Base_de_donnee_articles!E59="","",Base_de_donnee_articles!E59)</f>
        <v>PDJ</v>
      </c>
      <c r="G59" s="4"/>
      <c r="H59" s="4"/>
      <c r="I59" s="4"/>
      <c r="J59" s="4"/>
    </row>
    <row r="60" spans="2:10" x14ac:dyDescent="0.35">
      <c r="B60" s="4" t="str">
        <f>IF(Base_de_donnee_articles!B60="","",Base_de_donnee_articles!B60)</f>
        <v>mini croissant beurre 30g x 195</v>
      </c>
      <c r="C60" s="8">
        <f>Etat_des_stocks!G60*Base_de_donnee_articles!D60</f>
        <v>0</v>
      </c>
      <c r="D60" s="26">
        <f>Etat_des_stocks!F60*Base_de_donnee_articles!D60</f>
        <v>0</v>
      </c>
      <c r="E60" s="4" t="str">
        <f>IF(Base_de_donnee_articles!E60="","",Base_de_donnee_articles!E60)</f>
        <v>PDJ</v>
      </c>
      <c r="G60" s="4"/>
      <c r="H60" s="4"/>
      <c r="I60" s="4"/>
      <c r="J60" s="4"/>
    </row>
    <row r="61" spans="2:10" x14ac:dyDescent="0.35">
      <c r="B61" s="4" t="str">
        <f>IF(Base_de_donnee_articles!B61="","",Base_de_donnee_articles!B61)</f>
        <v xml:space="preserve">mini torsade cranberrie 30gx100 </v>
      </c>
      <c r="C61" s="8">
        <f>Etat_des_stocks!G61*Base_de_donnee_articles!D61</f>
        <v>0</v>
      </c>
      <c r="D61" s="26">
        <f>Etat_des_stocks!F61*Base_de_donnee_articles!D61</f>
        <v>0</v>
      </c>
      <c r="E61" s="4" t="str">
        <f>IF(Base_de_donnee_articles!E61="","",Base_de_donnee_articles!E61)</f>
        <v>PDJ</v>
      </c>
      <c r="G61" s="4"/>
      <c r="H61" s="4"/>
      <c r="I61" s="4"/>
      <c r="J61" s="4"/>
    </row>
    <row r="62" spans="2:10" x14ac:dyDescent="0.35">
      <c r="B62" s="4" t="str">
        <f>IF(Base_de_donnee_articles!B62="","",Base_de_donnee_articles!B62)</f>
        <v>jambon dd torchon *10 x 50g</v>
      </c>
      <c r="C62" s="8">
        <f>Etat_des_stocks!G62*Base_de_donnee_articles!D62</f>
        <v>0</v>
      </c>
      <c r="D62" s="26">
        <f>Etat_des_stocks!F62*Base_de_donnee_articles!D62</f>
        <v>0</v>
      </c>
      <c r="E62" s="4" t="str">
        <f>IF(Base_de_donnee_articles!E62="","",Base_de_donnee_articles!E62)</f>
        <v>PDJ</v>
      </c>
      <c r="G62" s="4"/>
      <c r="H62" s="4"/>
      <c r="I62" s="4"/>
      <c r="J62" s="4"/>
    </row>
    <row r="63" spans="2:10" x14ac:dyDescent="0.35">
      <c r="B63" s="4" t="str">
        <f>IF(Base_de_donnee_articles!B63="","",Base_de_donnee_articles!B63)</f>
        <v>blanc poulet *10 x 40g</v>
      </c>
      <c r="C63" s="8">
        <f>Etat_des_stocks!G63*Base_de_donnee_articles!D63</f>
        <v>0</v>
      </c>
      <c r="D63" s="26">
        <f>Etat_des_stocks!F63*Base_de_donnee_articles!D63</f>
        <v>0</v>
      </c>
      <c r="E63" s="4" t="str">
        <f>IF(Base_de_donnee_articles!E63="","",Base_de_donnee_articles!E63)</f>
        <v>PDJ</v>
      </c>
      <c r="G63" s="4"/>
      <c r="H63" s="4"/>
      <c r="I63" s="4"/>
      <c r="J63" s="4"/>
    </row>
    <row r="64" spans="2:10" x14ac:dyDescent="0.35">
      <c r="B64" s="4" t="str">
        <f>IF(Base_de_donnee_articles!B64="","",Base_de_donnee_articles!B64)</f>
        <v>destructeur d'odeurs 750ml x 6</v>
      </c>
      <c r="C64" s="8">
        <f>Etat_des_stocks!G64*Base_de_donnee_articles!D64</f>
        <v>0</v>
      </c>
      <c r="D64" s="26">
        <f>Etat_des_stocks!F64*Base_de_donnee_articles!D64</f>
        <v>0</v>
      </c>
      <c r="E64" s="4" t="str">
        <f>IF(Base_de_donnee_articles!E64="","",Base_de_donnee_articles!E64)</f>
        <v>Entretien</v>
      </c>
      <c r="G64" s="4"/>
      <c r="H64" s="4"/>
      <c r="I64" s="4"/>
      <c r="J64" s="4"/>
    </row>
    <row r="65" spans="2:10" x14ac:dyDescent="0.35">
      <c r="B65" s="4" t="str">
        <f>IF(Base_de_donnee_articles!B65="","",Base_de_donnee_articles!B65)</f>
        <v>green care pre-détachant 750 ml</v>
      </c>
      <c r="C65" s="8">
        <f>Etat_des_stocks!G65*Base_de_donnee_articles!D65</f>
        <v>0</v>
      </c>
      <c r="D65" s="26">
        <f>Etat_des_stocks!F65*Base_de_donnee_articles!D65</f>
        <v>0</v>
      </c>
      <c r="E65" s="4" t="str">
        <f>IF(Base_de_donnee_articles!E65="","",Base_de_donnee_articles!E65)</f>
        <v>Entretien</v>
      </c>
      <c r="G65" s="4"/>
      <c r="H65" s="4"/>
      <c r="I65" s="4"/>
      <c r="J65" s="4"/>
    </row>
    <row r="66" spans="2:10" x14ac:dyDescent="0.35">
      <c r="B66" s="4" t="str">
        <f>IF(Base_de_donnee_articles!B66="","",Base_de_donnee_articles!B66)</f>
        <v>mouchoir 21 boites de 100</v>
      </c>
      <c r="C66" s="8">
        <f>Etat_des_stocks!G66*Base_de_donnee_articles!D66</f>
        <v>0</v>
      </c>
      <c r="D66" s="26">
        <f>Etat_des_stocks!F66*Base_de_donnee_articles!D66</f>
        <v>0</v>
      </c>
      <c r="E66" s="4" t="str">
        <f>IF(Base_de_donnee_articles!E66="","",Base_de_donnee_articles!E66)</f>
        <v>Entretien</v>
      </c>
      <c r="G66" s="4"/>
      <c r="H66" s="4"/>
      <c r="I66" s="4"/>
      <c r="J66" s="4"/>
    </row>
    <row r="67" spans="2:10" x14ac:dyDescent="0.35">
      <c r="B67" s="4" t="str">
        <f>IF(Base_de_donnee_articles!B67="","",Base_de_donnee_articles!B67)</f>
        <v>gant mapa jersetlite parme</v>
      </c>
      <c r="C67" s="8">
        <f>Etat_des_stocks!G67*Base_de_donnee_articles!D67</f>
        <v>0</v>
      </c>
      <c r="D67" s="26">
        <f>Etat_des_stocks!F67*Base_de_donnee_articles!D67</f>
        <v>0</v>
      </c>
      <c r="E67" s="4" t="str">
        <f>IF(Base_de_donnee_articles!E67="","",Base_de_donnee_articles!E67)</f>
        <v>Entretien</v>
      </c>
      <c r="G67" s="4"/>
      <c r="H67" s="4"/>
      <c r="I67" s="4"/>
      <c r="J67" s="4"/>
    </row>
    <row r="68" spans="2:10" x14ac:dyDescent="0.35">
      <c r="B68" s="4" t="str">
        <f>IF(Base_de_donnee_articles!B68="","",Base_de_donnee_articles!B68)</f>
        <v>papier toilette 500cp x 56 rlx</v>
      </c>
      <c r="C68" s="8">
        <f>Etat_des_stocks!G68*Base_de_donnee_articles!D68</f>
        <v>0</v>
      </c>
      <c r="D68" s="26">
        <f>Etat_des_stocks!F68*Base_de_donnee_articles!D68</f>
        <v>0</v>
      </c>
      <c r="E68" s="4" t="str">
        <f>IF(Base_de_donnee_articles!E68="","",Base_de_donnee_articles!E68)</f>
        <v>Entretien</v>
      </c>
      <c r="G68" s="4"/>
      <c r="H68" s="4"/>
      <c r="I68" s="4"/>
      <c r="J68" s="4"/>
    </row>
    <row r="69" spans="2:10" x14ac:dyDescent="0.35">
      <c r="B69" s="4" t="str">
        <f>IF(Base_de_donnee_articles!B69="","",Base_de_donnee_articles!B69)</f>
        <v>vinaigre blanc 1l BARTHOLUS</v>
      </c>
      <c r="C69" s="8">
        <f>Etat_des_stocks!G69*Base_de_donnee_articles!D69</f>
        <v>0</v>
      </c>
      <c r="D69" s="26">
        <f>Etat_des_stocks!F69*Base_de_donnee_articles!D69</f>
        <v>0</v>
      </c>
      <c r="E69" s="4" t="str">
        <f>IF(Base_de_donnee_articles!E69="","",Base_de_donnee_articles!E69)</f>
        <v>Entretien</v>
      </c>
      <c r="G69" s="4"/>
      <c r="H69" s="4"/>
      <c r="I69" s="4"/>
      <c r="J69" s="4"/>
    </row>
    <row r="70" spans="2:10" x14ac:dyDescent="0.35">
      <c r="B70" s="4" t="str">
        <f>IF(Base_de_donnee_articles!B70="","",Base_de_donnee_articles!B70)</f>
        <v>désodorisant toilettes 750ml x6</v>
      </c>
      <c r="C70" s="8">
        <f>Etat_des_stocks!G70*Base_de_donnee_articles!D70</f>
        <v>0</v>
      </c>
      <c r="D70" s="26">
        <f>Etat_des_stocks!F70*Base_de_donnee_articles!D70</f>
        <v>0</v>
      </c>
      <c r="E70" s="4" t="str">
        <f>IF(Base_de_donnee_articles!E70="","",Base_de_donnee_articles!E70)</f>
        <v>Entretien</v>
      </c>
      <c r="G70" s="4"/>
      <c r="H70" s="4"/>
      <c r="I70" s="4"/>
      <c r="J70" s="4"/>
    </row>
    <row r="71" spans="2:10" x14ac:dyDescent="0.35">
      <c r="B71" s="4" t="str">
        <f>IF(Base_de_donnee_articles!B71="","",Base_de_donnee_articles!B71)</f>
        <v>green-line rincage 5l</v>
      </c>
      <c r="C71" s="8">
        <f>Etat_des_stocks!G71*Base_de_donnee_articles!D71</f>
        <v>0</v>
      </c>
      <c r="D71" s="26">
        <f>Etat_des_stocks!F71*Base_de_donnee_articles!D71</f>
        <v>0</v>
      </c>
      <c r="E71" s="4" t="str">
        <f>IF(Base_de_donnee_articles!E71="","",Base_de_donnee_articles!E71)</f>
        <v>Entretien</v>
      </c>
      <c r="G71" s="4"/>
      <c r="H71" s="4"/>
      <c r="I71" s="4"/>
      <c r="J71" s="4"/>
    </row>
    <row r="72" spans="2:10" x14ac:dyDescent="0.35">
      <c r="B72" s="4" t="str">
        <f>IF(Base_de_donnee_articles!B72="","",Base_de_donnee_articles!B72)</f>
        <v>Nov détartrant Gel Wc 1l x 12</v>
      </c>
      <c r="C72" s="8">
        <f>Etat_des_stocks!G72*Base_de_donnee_articles!D72</f>
        <v>0</v>
      </c>
      <c r="D72" s="26">
        <f>Etat_des_stocks!F72*Base_de_donnee_articles!D72</f>
        <v>0</v>
      </c>
      <c r="E72" s="4" t="str">
        <f>IF(Base_de_donnee_articles!E72="","",Base_de_donnee_articles!E72)</f>
        <v>Entretien</v>
      </c>
      <c r="G72" s="4"/>
      <c r="H72" s="4"/>
      <c r="I72" s="4"/>
      <c r="J72" s="4"/>
    </row>
    <row r="73" spans="2:10" x14ac:dyDescent="0.35">
      <c r="B73" s="4" t="str">
        <f>IF(Base_de_donnee_articles!B73="","",Base_de_donnee_articles!B73)</f>
        <v>eponge gommante x 3</v>
      </c>
      <c r="C73" s="8">
        <f>Etat_des_stocks!G73*Base_de_donnee_articles!D73</f>
        <v>0</v>
      </c>
      <c r="D73" s="26">
        <f>Etat_des_stocks!F73*Base_de_donnee_articles!D73</f>
        <v>0</v>
      </c>
      <c r="E73" s="4" t="str">
        <f>IF(Base_de_donnee_articles!E73="","",Base_de_donnee_articles!E73)</f>
        <v>Entretien</v>
      </c>
      <c r="G73" s="4"/>
      <c r="H73" s="4"/>
      <c r="I73" s="4"/>
      <c r="J73" s="4"/>
    </row>
    <row r="74" spans="2:10" x14ac:dyDescent="0.35">
      <c r="B74" s="4" t="str">
        <f>IF(Base_de_donnee_articles!B74="","",Base_de_donnee_articles!B74)</f>
        <v>lavettes microfibre x 10</v>
      </c>
      <c r="C74" s="8">
        <f>Etat_des_stocks!G74*Base_de_donnee_articles!D74</f>
        <v>0</v>
      </c>
      <c r="D74" s="26">
        <f>Etat_des_stocks!F74*Base_de_donnee_articles!D74</f>
        <v>0</v>
      </c>
      <c r="E74" s="4" t="str">
        <f>IF(Base_de_donnee_articles!E74="","",Base_de_donnee_articles!E74)</f>
        <v>Entretien</v>
      </c>
      <c r="G74" s="4"/>
      <c r="H74" s="4"/>
      <c r="I74" s="4"/>
      <c r="J74" s="4"/>
    </row>
    <row r="75" spans="2:10" x14ac:dyDescent="0.35">
      <c r="B75" s="4" t="str">
        <f>IF(Base_de_donnee_articles!B75="","",Base_de_donnee_articles!B75)</f>
        <v>comprimés chlorés x 150</v>
      </c>
      <c r="C75" s="8">
        <f>Etat_des_stocks!G75*Base_de_donnee_articles!D75</f>
        <v>0</v>
      </c>
      <c r="D75" s="26">
        <f>Etat_des_stocks!F75*Base_de_donnee_articles!D75</f>
        <v>0</v>
      </c>
      <c r="E75" s="4" t="str">
        <f>IF(Base_de_donnee_articles!E75="","",Base_de_donnee_articles!E75)</f>
        <v>Entretien</v>
      </c>
      <c r="G75" s="4"/>
      <c r="H75" s="4"/>
      <c r="I75" s="4"/>
      <c r="J75" s="4"/>
    </row>
    <row r="76" spans="2:10" x14ac:dyDescent="0.35">
      <c r="B76" s="4" t="str">
        <f>IF(Base_de_donnee_articles!B76="","",Base_de_donnee_articles!B76)</f>
        <v>Activ intense 20kg</v>
      </c>
      <c r="C76" s="8">
        <f>Etat_des_stocks!G76*Base_de_donnee_articles!D76</f>
        <v>0</v>
      </c>
      <c r="D76" s="26">
        <f>Etat_des_stocks!F76*Base_de_donnee_articles!D76</f>
        <v>0</v>
      </c>
      <c r="E76" s="4" t="str">
        <f>IF(Base_de_donnee_articles!E76="","",Base_de_donnee_articles!E76)</f>
        <v>Entretien</v>
      </c>
      <c r="G76" s="4"/>
      <c r="H76" s="4"/>
      <c r="I76" s="4"/>
      <c r="J76" s="4"/>
    </row>
    <row r="77" spans="2:10" x14ac:dyDescent="0.35">
      <c r="B77" s="4" t="str">
        <f>IF(Base_de_donnee_articles!B77="","",Base_de_donnee_articles!B77)</f>
        <v>sel adoucisseur en pastille 25kg</v>
      </c>
      <c r="C77" s="8">
        <f>Etat_des_stocks!G77*Base_de_donnee_articles!D77</f>
        <v>0</v>
      </c>
      <c r="D77" s="26">
        <f>Etat_des_stocks!F77*Base_de_donnee_articles!D77</f>
        <v>0</v>
      </c>
      <c r="E77" s="4" t="str">
        <f>IF(Base_de_donnee_articles!E77="","",Base_de_donnee_articles!E77)</f>
        <v>Entretien</v>
      </c>
      <c r="G77" s="4"/>
      <c r="H77" s="4"/>
      <c r="I77" s="4"/>
      <c r="J77" s="4"/>
    </row>
    <row r="78" spans="2:10" x14ac:dyDescent="0.35">
      <c r="B78" s="4" t="str">
        <f>IF(Base_de_donnee_articles!B78="","",Base_de_donnee_articles!B78)</f>
        <v>tampon éponge rose x 10</v>
      </c>
      <c r="C78" s="8">
        <f>Etat_des_stocks!G78*Base_de_donnee_articles!D78</f>
        <v>0</v>
      </c>
      <c r="D78" s="26">
        <f>Etat_des_stocks!F78*Base_de_donnee_articles!D78</f>
        <v>0</v>
      </c>
      <c r="E78" s="4" t="str">
        <f>IF(Base_de_donnee_articles!E78="","",Base_de_donnee_articles!E78)</f>
        <v>Entretien</v>
      </c>
      <c r="G78" s="4"/>
      <c r="H78" s="4"/>
      <c r="I78" s="4"/>
      <c r="J78" s="4"/>
    </row>
    <row r="79" spans="2:10" x14ac:dyDescent="0.35">
      <c r="B79" s="4" t="str">
        <f>IF(Base_de_donnee_articles!B79="","",Base_de_donnee_articles!B79)</f>
        <v>sac poubelle 20l x 1000</v>
      </c>
      <c r="C79" s="8">
        <f>Etat_des_stocks!G79*Base_de_donnee_articles!D79</f>
        <v>0</v>
      </c>
      <c r="D79" s="26">
        <f>Etat_des_stocks!F79*Base_de_donnee_articles!D79</f>
        <v>0</v>
      </c>
      <c r="E79" s="4" t="str">
        <f>IF(Base_de_donnee_articles!E79="","",Base_de_donnee_articles!E79)</f>
        <v>Entretien</v>
      </c>
      <c r="G79" s="4"/>
      <c r="H79" s="4"/>
      <c r="I79" s="4"/>
      <c r="J79" s="4"/>
    </row>
    <row r="80" spans="2:10" x14ac:dyDescent="0.35">
      <c r="B80" s="4" t="str">
        <f>IF(Base_de_donnee_articles!B80="","",Base_de_donnee_articles!B80)</f>
        <v>sac poubelle 110l x 200</v>
      </c>
      <c r="C80" s="8">
        <f>Etat_des_stocks!G80*Base_de_donnee_articles!D80</f>
        <v>0</v>
      </c>
      <c r="D80" s="26">
        <f>Etat_des_stocks!F80*Base_de_donnee_articles!D80</f>
        <v>0</v>
      </c>
      <c r="E80" s="4" t="str">
        <f>IF(Base_de_donnee_articles!E80="","",Base_de_donnee_articles!E80)</f>
        <v>Entretien</v>
      </c>
      <c r="G80" s="4"/>
      <c r="H80" s="4"/>
      <c r="I80" s="4"/>
      <c r="J80" s="4"/>
    </row>
    <row r="81" spans="2:10" x14ac:dyDescent="0.35">
      <c r="B81" s="4" t="str">
        <f>IF(Base_de_donnee_articles!B81="","",Base_de_donnee_articles!B81)</f>
        <v>sac poubelle 10l x 66</v>
      </c>
      <c r="C81" s="8">
        <f>Etat_des_stocks!G81*Base_de_donnee_articles!D81</f>
        <v>0</v>
      </c>
      <c r="D81" s="26">
        <f>Etat_des_stocks!F81*Base_de_donnee_articles!D81</f>
        <v>0</v>
      </c>
      <c r="E81" s="4" t="str">
        <f>IF(Base_de_donnee_articles!E81="","",Base_de_donnee_articles!E81)</f>
        <v>Entretien</v>
      </c>
      <c r="G81" s="4"/>
      <c r="H81" s="4"/>
      <c r="I81" s="4"/>
      <c r="J81" s="4"/>
    </row>
    <row r="82" spans="2:10" x14ac:dyDescent="0.35">
      <c r="B82" s="4" t="str">
        <f>IF(Base_de_donnee_articles!B82="","",Base_de_donnee_articles!B82)</f>
        <v>alcool ménager citron 1l x 12</v>
      </c>
      <c r="C82" s="8">
        <f>Etat_des_stocks!G82*Base_de_donnee_articles!D82</f>
        <v>0</v>
      </c>
      <c r="D82" s="26">
        <f>Etat_des_stocks!F82*Base_de_donnee_articles!D82</f>
        <v>0</v>
      </c>
      <c r="E82" s="4" t="str">
        <f>IF(Base_de_donnee_articles!E82="","",Base_de_donnee_articles!E82)</f>
        <v>Entretien</v>
      </c>
      <c r="G82" s="4"/>
      <c r="H82" s="4"/>
      <c r="I82" s="4"/>
      <c r="J82" s="4"/>
    </row>
    <row r="83" spans="2:10" x14ac:dyDescent="0.35">
      <c r="B83" s="4" t="str">
        <f>IF(Base_de_donnee_articles!B83="","",Base_de_donnee_articles!B83)</f>
        <v>glass cleaner</v>
      </c>
      <c r="C83" s="8">
        <f>Etat_des_stocks!G83*Base_de_donnee_articles!D83</f>
        <v>0</v>
      </c>
      <c r="D83" s="26">
        <f>Etat_des_stocks!F83*Base_de_donnee_articles!D83</f>
        <v>0</v>
      </c>
      <c r="E83" s="4" t="str">
        <f>IF(Base_de_donnee_articles!E83="","",Base_de_donnee_articles!E83)</f>
        <v>Entretien</v>
      </c>
      <c r="G83" s="4"/>
      <c r="H83" s="4"/>
      <c r="I83" s="4"/>
      <c r="J83" s="4"/>
    </row>
    <row r="84" spans="2:10" x14ac:dyDescent="0.35">
      <c r="B84" s="4" t="str">
        <f>IF(Base_de_donnee_articles!B84="","",Base_de_donnee_articles!B84)</f>
        <v/>
      </c>
      <c r="C84" s="8" t="e">
        <f>Etat_des_stocks!G84*Base_de_donnee_articles!D84</f>
        <v>#VALUE!</v>
      </c>
      <c r="D84" s="26" t="e">
        <f>Etat_des_stocks!F84*Base_de_donnee_articles!D84</f>
        <v>#DIV/0!</v>
      </c>
      <c r="E84" s="4" t="str">
        <f>IF(Base_de_donnee_articles!E84="","",Base_de_donnee_articles!E84)</f>
        <v/>
      </c>
      <c r="G84" s="4"/>
      <c r="H84" s="4"/>
      <c r="I84" s="4"/>
      <c r="J84" s="4"/>
    </row>
    <row r="85" spans="2:10" x14ac:dyDescent="0.35">
      <c r="B85" s="4" t="str">
        <f>IF(Base_de_donnee_articles!B85="","",Base_de_donnee_articles!B85)</f>
        <v/>
      </c>
      <c r="C85" s="8" t="e">
        <f>Etat_des_stocks!G85*Base_de_donnee_articles!D85</f>
        <v>#VALUE!</v>
      </c>
      <c r="D85" s="26" t="e">
        <f>Etat_des_stocks!F85*Base_de_donnee_articles!D85</f>
        <v>#DIV/0!</v>
      </c>
      <c r="E85" s="4" t="str">
        <f>IF(Base_de_donnee_articles!E85="","",Base_de_donnee_articles!E85)</f>
        <v/>
      </c>
      <c r="G85" s="4"/>
      <c r="H85" s="4"/>
      <c r="I85" s="4"/>
      <c r="J85" s="4"/>
    </row>
    <row r="86" spans="2:10" x14ac:dyDescent="0.35">
      <c r="B86" s="4" t="str">
        <f>IF(Base_de_donnee_articles!B86="","",Base_de_donnee_articles!B86)</f>
        <v/>
      </c>
      <c r="C86" s="8" t="e">
        <f>Etat_des_stocks!G86*Base_de_donnee_articles!D86</f>
        <v>#VALUE!</v>
      </c>
      <c r="D86" s="26" t="e">
        <f>Etat_des_stocks!F86*Base_de_donnee_articles!D86</f>
        <v>#DIV/0!</v>
      </c>
      <c r="E86" s="4" t="str">
        <f>IF(Base_de_donnee_articles!E86="","",Base_de_donnee_articles!E86)</f>
        <v/>
      </c>
      <c r="G86" s="4"/>
      <c r="H86" s="4"/>
      <c r="I86" s="4"/>
      <c r="J86" s="4"/>
    </row>
    <row r="87" spans="2:10" x14ac:dyDescent="0.35">
      <c r="B87" s="4" t="str">
        <f>IF(Base_de_donnee_articles!B87="","",Base_de_donnee_articles!B87)</f>
        <v/>
      </c>
      <c r="C87" s="8" t="e">
        <f>Etat_des_stocks!G87*Base_de_donnee_articles!D87</f>
        <v>#VALUE!</v>
      </c>
      <c r="D87" s="26" t="e">
        <f>Etat_des_stocks!F87*Base_de_donnee_articles!D87</f>
        <v>#DIV/0!</v>
      </c>
      <c r="E87" s="4" t="str">
        <f>IF(Base_de_donnee_articles!E87="","",Base_de_donnee_articles!E87)</f>
        <v/>
      </c>
      <c r="G87" s="4"/>
      <c r="H87" s="4"/>
      <c r="I87" s="4"/>
      <c r="J87" s="4"/>
    </row>
    <row r="88" spans="2:10" x14ac:dyDescent="0.35">
      <c r="B88" s="4" t="str">
        <f>IF(Base_de_donnee_articles!B88="","",Base_de_donnee_articles!B88)</f>
        <v/>
      </c>
      <c r="C88" s="8" t="e">
        <f>Etat_des_stocks!G88*Base_de_donnee_articles!D88</f>
        <v>#VALUE!</v>
      </c>
      <c r="D88" s="26" t="e">
        <f>Etat_des_stocks!F88*Base_de_donnee_articles!D88</f>
        <v>#DIV/0!</v>
      </c>
      <c r="E88" s="4" t="str">
        <f>IF(Base_de_donnee_articles!E88="","",Base_de_donnee_articles!E88)</f>
        <v/>
      </c>
      <c r="G88" s="4"/>
      <c r="H88" s="4"/>
      <c r="I88" s="4"/>
      <c r="J88" s="4"/>
    </row>
    <row r="89" spans="2:10" x14ac:dyDescent="0.35">
      <c r="B89" s="4" t="str">
        <f>IF(Base_de_donnee_articles!B89="","",Base_de_donnee_articles!B89)</f>
        <v/>
      </c>
      <c r="C89" s="8" t="e">
        <f>Etat_des_stocks!G89*Base_de_donnee_articles!D89</f>
        <v>#VALUE!</v>
      </c>
      <c r="D89" s="26" t="e">
        <f>Etat_des_stocks!F89*Base_de_donnee_articles!D89</f>
        <v>#DIV/0!</v>
      </c>
      <c r="E89" s="4" t="str">
        <f>IF(Base_de_donnee_articles!E89="","",Base_de_donnee_articles!E89)</f>
        <v/>
      </c>
      <c r="G89" s="4"/>
      <c r="H89" s="4"/>
      <c r="I89" s="4"/>
      <c r="J89" s="4"/>
    </row>
    <row r="90" spans="2:10" x14ac:dyDescent="0.35">
      <c r="B90" s="4" t="str">
        <f>IF(Base_de_donnee_articles!B90="","",Base_de_donnee_articles!B90)</f>
        <v/>
      </c>
      <c r="C90" s="8" t="e">
        <f>Etat_des_stocks!G90*Base_de_donnee_articles!D90</f>
        <v>#VALUE!</v>
      </c>
      <c r="D90" s="26" t="e">
        <f>Etat_des_stocks!F90*Base_de_donnee_articles!D90</f>
        <v>#DIV/0!</v>
      </c>
      <c r="E90" s="4" t="str">
        <f>IF(Base_de_donnee_articles!E90="","",Base_de_donnee_articles!E90)</f>
        <v/>
      </c>
      <c r="G90" s="4"/>
      <c r="H90" s="4"/>
      <c r="I90" s="4"/>
      <c r="J90" s="4"/>
    </row>
    <row r="91" spans="2:10" x14ac:dyDescent="0.35">
      <c r="B91" s="4" t="str">
        <f>IF(Base_de_donnee_articles!B91="","",Base_de_donnee_articles!B91)</f>
        <v/>
      </c>
      <c r="C91" s="8" t="e">
        <f>Etat_des_stocks!G91*Base_de_donnee_articles!D91</f>
        <v>#VALUE!</v>
      </c>
      <c r="D91" s="26" t="e">
        <f>Etat_des_stocks!F91*Base_de_donnee_articles!D91</f>
        <v>#DIV/0!</v>
      </c>
      <c r="E91" s="4" t="str">
        <f>IF(Base_de_donnee_articles!E91="","",Base_de_donnee_articles!E91)</f>
        <v/>
      </c>
      <c r="G91" s="4"/>
      <c r="H91" s="4"/>
      <c r="I91" s="4"/>
      <c r="J91" s="4"/>
    </row>
    <row r="92" spans="2:10" x14ac:dyDescent="0.35">
      <c r="B92" s="4" t="str">
        <f>IF(Base_de_donnee_articles!B92="","",Base_de_donnee_articles!B92)</f>
        <v/>
      </c>
      <c r="C92" s="8" t="e">
        <f>Etat_des_stocks!G92*Base_de_donnee_articles!D92</f>
        <v>#VALUE!</v>
      </c>
      <c r="D92" s="26" t="e">
        <f>Etat_des_stocks!F92*Base_de_donnee_articles!D92</f>
        <v>#DIV/0!</v>
      </c>
      <c r="E92" s="4" t="str">
        <f>IF(Base_de_donnee_articles!E92="","",Base_de_donnee_articles!E92)</f>
        <v/>
      </c>
      <c r="G92" s="4"/>
      <c r="H92" s="4"/>
      <c r="I92" s="4"/>
      <c r="J92" s="4"/>
    </row>
    <row r="93" spans="2:10" x14ac:dyDescent="0.35">
      <c r="B93" s="4" t="str">
        <f>IF(Base_de_donnee_articles!B93="","",Base_de_donnee_articles!B93)</f>
        <v/>
      </c>
      <c r="C93" s="8" t="e">
        <f>Etat_des_stocks!G93*Base_de_donnee_articles!D93</f>
        <v>#VALUE!</v>
      </c>
      <c r="D93" s="26" t="e">
        <f>Etat_des_stocks!F93*Base_de_donnee_articles!D93</f>
        <v>#DIV/0!</v>
      </c>
      <c r="E93" s="4" t="str">
        <f>IF(Base_de_donnee_articles!E93="","",Base_de_donnee_articles!E93)</f>
        <v/>
      </c>
      <c r="G93" s="4"/>
      <c r="H93" s="4"/>
      <c r="I93" s="4"/>
      <c r="J93" s="4"/>
    </row>
    <row r="94" spans="2:10" x14ac:dyDescent="0.35">
      <c r="B94" s="4" t="str">
        <f>IF(Base_de_donnee_articles!B94="","",Base_de_donnee_articles!B94)</f>
        <v/>
      </c>
      <c r="C94" s="8" t="e">
        <f>Etat_des_stocks!G94*Base_de_donnee_articles!D94</f>
        <v>#VALUE!</v>
      </c>
      <c r="D94" s="26" t="e">
        <f>Etat_des_stocks!F94*Base_de_donnee_articles!D94</f>
        <v>#DIV/0!</v>
      </c>
      <c r="E94" s="4" t="str">
        <f>IF(Base_de_donnee_articles!E94="","",Base_de_donnee_articles!E94)</f>
        <v/>
      </c>
      <c r="G94" s="4"/>
      <c r="H94" s="4"/>
      <c r="I94" s="4"/>
      <c r="J94" s="4"/>
    </row>
    <row r="95" spans="2:10" x14ac:dyDescent="0.35">
      <c r="B95" s="4" t="str">
        <f>IF(Base_de_donnee_articles!B95="","",Base_de_donnee_articles!B95)</f>
        <v/>
      </c>
      <c r="C95" s="8" t="e">
        <f>Etat_des_stocks!G95*Base_de_donnee_articles!D95</f>
        <v>#VALUE!</v>
      </c>
      <c r="D95" s="26" t="e">
        <f>Etat_des_stocks!F95*Base_de_donnee_articles!D95</f>
        <v>#DIV/0!</v>
      </c>
      <c r="E95" s="4" t="str">
        <f>IF(Base_de_donnee_articles!E95="","",Base_de_donnee_articles!E95)</f>
        <v/>
      </c>
      <c r="G95" s="4"/>
      <c r="H95" s="4"/>
      <c r="I95" s="4"/>
      <c r="J95" s="4"/>
    </row>
    <row r="96" spans="2:10" x14ac:dyDescent="0.35">
      <c r="B96" s="4" t="str">
        <f>IF(Base_de_donnee_articles!B96="","",Base_de_donnee_articles!B96)</f>
        <v/>
      </c>
      <c r="C96" s="8" t="e">
        <f>Etat_des_stocks!G96*Base_de_donnee_articles!D96</f>
        <v>#VALUE!</v>
      </c>
      <c r="D96" s="26" t="e">
        <f>Etat_des_stocks!F96*Base_de_donnee_articles!D96</f>
        <v>#DIV/0!</v>
      </c>
      <c r="E96" s="4" t="str">
        <f>IF(Base_de_donnee_articles!E96="","",Base_de_donnee_articles!E96)</f>
        <v/>
      </c>
      <c r="G96" s="4"/>
      <c r="H96" s="4"/>
      <c r="I96" s="4"/>
      <c r="J96" s="4"/>
    </row>
    <row r="97" spans="2:10" x14ac:dyDescent="0.35">
      <c r="B97" s="4" t="str">
        <f>IF(Base_de_donnee_articles!B97="","",Base_de_donnee_articles!B97)</f>
        <v/>
      </c>
      <c r="C97" s="8" t="e">
        <f>Etat_des_stocks!G97*Base_de_donnee_articles!D97</f>
        <v>#VALUE!</v>
      </c>
      <c r="D97" s="26" t="e">
        <f>Etat_des_stocks!F97*Base_de_donnee_articles!D97</f>
        <v>#DIV/0!</v>
      </c>
      <c r="E97" s="4" t="str">
        <f>IF(Base_de_donnee_articles!E97="","",Base_de_donnee_articles!E97)</f>
        <v/>
      </c>
      <c r="G97" s="4"/>
      <c r="H97" s="4"/>
      <c r="I97" s="4"/>
      <c r="J97" s="4"/>
    </row>
    <row r="98" spans="2:10" x14ac:dyDescent="0.35">
      <c r="B98" s="4" t="str">
        <f>IF(Base_de_donnee_articles!B98="","",Base_de_donnee_articles!B98)</f>
        <v/>
      </c>
      <c r="C98" s="8" t="e">
        <f>Etat_des_stocks!G98*Base_de_donnee_articles!D98</f>
        <v>#VALUE!</v>
      </c>
      <c r="D98" s="26" t="e">
        <f>Etat_des_stocks!F98*Base_de_donnee_articles!D98</f>
        <v>#DIV/0!</v>
      </c>
      <c r="E98" s="4" t="str">
        <f>IF(Base_de_donnee_articles!E98="","",Base_de_donnee_articles!E98)</f>
        <v/>
      </c>
      <c r="G98" s="4"/>
      <c r="H98" s="4"/>
      <c r="I98" s="4"/>
      <c r="J98" s="4"/>
    </row>
    <row r="99" spans="2:10" x14ac:dyDescent="0.35">
      <c r="B99" s="4" t="str">
        <f>IF(Base_de_donnee_articles!B99="","",Base_de_donnee_articles!B99)</f>
        <v/>
      </c>
      <c r="C99" s="8" t="e">
        <f>Etat_des_stocks!G99*Base_de_donnee_articles!D99</f>
        <v>#VALUE!</v>
      </c>
      <c r="D99" s="26" t="e">
        <f>Etat_des_stocks!F99*Base_de_donnee_articles!D99</f>
        <v>#DIV/0!</v>
      </c>
      <c r="E99" s="4" t="str">
        <f>IF(Base_de_donnee_articles!E99="","",Base_de_donnee_articles!E99)</f>
        <v/>
      </c>
      <c r="G99" s="4"/>
      <c r="H99" s="4"/>
      <c r="I99" s="4"/>
      <c r="J99" s="4"/>
    </row>
    <row r="100" spans="2:10" x14ac:dyDescent="0.35">
      <c r="B100" s="4" t="str">
        <f>IF(Base_de_donnee_articles!B100="","",Base_de_donnee_articles!B100)</f>
        <v/>
      </c>
      <c r="C100" s="8" t="e">
        <f>Etat_des_stocks!G100*Base_de_donnee_articles!D100</f>
        <v>#VALUE!</v>
      </c>
      <c r="D100" s="26" t="e">
        <f>Etat_des_stocks!F100*Base_de_donnee_articles!D100</f>
        <v>#DIV/0!</v>
      </c>
      <c r="E100" s="4" t="str">
        <f>IF(Base_de_donnee_articles!E100="","",Base_de_donnee_articles!E100)</f>
        <v/>
      </c>
      <c r="G100" s="4"/>
      <c r="H100" s="4"/>
      <c r="I100" s="4"/>
      <c r="J100" s="4"/>
    </row>
    <row r="101" spans="2:10" x14ac:dyDescent="0.35">
      <c r="B101" s="4" t="str">
        <f>IF(Base_de_donnee_articles!B101="","",Base_de_donnee_articles!B101)</f>
        <v/>
      </c>
      <c r="C101" s="8" t="e">
        <f>Etat_des_stocks!G101*Base_de_donnee_articles!D101</f>
        <v>#VALUE!</v>
      </c>
      <c r="D101" s="26" t="e">
        <f>Etat_des_stocks!F101*Base_de_donnee_articles!D101</f>
        <v>#DIV/0!</v>
      </c>
      <c r="E101" s="4" t="str">
        <f>IF(Base_de_donnee_articles!E101="","",Base_de_donnee_articles!E101)</f>
        <v/>
      </c>
      <c r="G101" s="4"/>
      <c r="H101" s="4"/>
      <c r="I101" s="4"/>
      <c r="J101" s="4"/>
    </row>
    <row r="102" spans="2:10" x14ac:dyDescent="0.35">
      <c r="B102" s="4" t="str">
        <f>IF(Base_de_donnee_articles!B102="","",Base_de_donnee_articles!B102)</f>
        <v/>
      </c>
      <c r="C102" s="8" t="e">
        <f>Etat_des_stocks!G102*Base_de_donnee_articles!D102</f>
        <v>#VALUE!</v>
      </c>
      <c r="D102" s="26" t="e">
        <f>Etat_des_stocks!F102*Base_de_donnee_articles!D102</f>
        <v>#DIV/0!</v>
      </c>
      <c r="E102" s="4" t="str">
        <f>IF(Base_de_donnee_articles!E102="","",Base_de_donnee_articles!E102)</f>
        <v/>
      </c>
      <c r="G102" s="4"/>
      <c r="H102" s="4"/>
      <c r="I102" s="4"/>
      <c r="J102" s="4"/>
    </row>
    <row r="103" spans="2:10" x14ac:dyDescent="0.35">
      <c r="B103" s="4" t="str">
        <f>IF(Base_de_donnee_articles!B103="","",Base_de_donnee_articles!B103)</f>
        <v/>
      </c>
      <c r="C103" s="8" t="e">
        <f>Etat_des_stocks!G103*Base_de_donnee_articles!D103</f>
        <v>#VALUE!</v>
      </c>
      <c r="D103" s="26" t="e">
        <f>Etat_des_stocks!F103*Base_de_donnee_articles!D103</f>
        <v>#DIV/0!</v>
      </c>
      <c r="E103" s="4" t="str">
        <f>IF(Base_de_donnee_articles!E103="","",Base_de_donnee_articles!E103)</f>
        <v/>
      </c>
      <c r="G103" s="4"/>
      <c r="H103" s="4"/>
      <c r="I103" s="4"/>
      <c r="J103" s="4"/>
    </row>
    <row r="104" spans="2:10" x14ac:dyDescent="0.35">
      <c r="B104" s="4" t="str">
        <f>IF(Base_de_donnee_articles!B104="","",Base_de_donnee_articles!B104)</f>
        <v/>
      </c>
      <c r="C104" s="8" t="e">
        <f>Etat_des_stocks!G104*Base_de_donnee_articles!D104</f>
        <v>#VALUE!</v>
      </c>
      <c r="D104" s="26" t="e">
        <f>Etat_des_stocks!F104*Base_de_donnee_articles!D104</f>
        <v>#DIV/0!</v>
      </c>
      <c r="E104" s="4" t="str">
        <f>IF(Base_de_donnee_articles!E104="","",Base_de_donnee_articles!E104)</f>
        <v/>
      </c>
      <c r="G104" s="4"/>
      <c r="H104" s="4"/>
      <c r="I104" s="4"/>
      <c r="J104" s="4"/>
    </row>
    <row r="105" spans="2:10" x14ac:dyDescent="0.35">
      <c r="B105" s="4" t="str">
        <f>IF(Base_de_donnee_articles!B105="","",Base_de_donnee_articles!B105)</f>
        <v/>
      </c>
      <c r="C105" s="8" t="e">
        <f>Etat_des_stocks!G105*Base_de_donnee_articles!D105</f>
        <v>#VALUE!</v>
      </c>
      <c r="D105" s="26" t="e">
        <f>Etat_des_stocks!F105*Base_de_donnee_articles!D105</f>
        <v>#DIV/0!</v>
      </c>
      <c r="E105" s="4" t="str">
        <f>IF(Base_de_donnee_articles!E105="","",Base_de_donnee_articles!E105)</f>
        <v/>
      </c>
      <c r="G105" s="4"/>
      <c r="H105" s="4"/>
      <c r="I105" s="4"/>
      <c r="J105" s="4"/>
    </row>
    <row r="106" spans="2:10" x14ac:dyDescent="0.35">
      <c r="B106" s="4" t="str">
        <f>IF(Base_de_donnee_articles!B106="","",Base_de_donnee_articles!B106)</f>
        <v/>
      </c>
      <c r="C106" s="8" t="e">
        <f>Etat_des_stocks!G106*Base_de_donnee_articles!D106</f>
        <v>#VALUE!</v>
      </c>
      <c r="D106" s="26" t="e">
        <f>Etat_des_stocks!F106*Base_de_donnee_articles!D106</f>
        <v>#DIV/0!</v>
      </c>
      <c r="E106" s="4" t="str">
        <f>IF(Base_de_donnee_articles!E106="","",Base_de_donnee_articles!E106)</f>
        <v/>
      </c>
      <c r="G106" s="4"/>
      <c r="H106" s="4"/>
      <c r="I106" s="4"/>
      <c r="J106" s="4"/>
    </row>
    <row r="107" spans="2:10" x14ac:dyDescent="0.35">
      <c r="B107" s="4" t="str">
        <f>IF(Base_de_donnee_articles!B107="","",Base_de_donnee_articles!B107)</f>
        <v/>
      </c>
      <c r="C107" s="8" t="e">
        <f>Etat_des_stocks!G107*Base_de_donnee_articles!D107</f>
        <v>#VALUE!</v>
      </c>
      <c r="D107" s="26" t="e">
        <f>Etat_des_stocks!F107*Base_de_donnee_articles!D107</f>
        <v>#DIV/0!</v>
      </c>
      <c r="E107" s="4" t="str">
        <f>IF(Base_de_donnee_articles!E107="","",Base_de_donnee_articles!E107)</f>
        <v/>
      </c>
      <c r="G107" s="4"/>
      <c r="H107" s="4"/>
      <c r="I107" s="4"/>
      <c r="J107" s="4"/>
    </row>
    <row r="108" spans="2:10" x14ac:dyDescent="0.35">
      <c r="B108" s="4" t="str">
        <f>IF(Base_de_donnee_articles!B108="","",Base_de_donnee_articles!B108)</f>
        <v/>
      </c>
      <c r="C108" s="8" t="e">
        <f>Etat_des_stocks!G108*Base_de_donnee_articles!D108</f>
        <v>#VALUE!</v>
      </c>
      <c r="D108" s="26" t="e">
        <f>Etat_des_stocks!F108*Base_de_donnee_articles!D108</f>
        <v>#DIV/0!</v>
      </c>
      <c r="E108" s="4" t="str">
        <f>IF(Base_de_donnee_articles!E108="","",Base_de_donnee_articles!E108)</f>
        <v/>
      </c>
      <c r="G108" s="4"/>
      <c r="H108" s="4"/>
      <c r="I108" s="4"/>
      <c r="J108" s="4"/>
    </row>
    <row r="109" spans="2:10" x14ac:dyDescent="0.35">
      <c r="B109" s="4" t="str">
        <f>IF(Base_de_donnee_articles!B109="","",Base_de_donnee_articles!B109)</f>
        <v/>
      </c>
      <c r="C109" s="8" t="e">
        <f>Etat_des_stocks!G109*Base_de_donnee_articles!D109</f>
        <v>#VALUE!</v>
      </c>
      <c r="D109" s="26" t="e">
        <f>Etat_des_stocks!F109*Base_de_donnee_articles!D109</f>
        <v>#DIV/0!</v>
      </c>
      <c r="E109" s="4" t="str">
        <f>IF(Base_de_donnee_articles!E109="","",Base_de_donnee_articles!E109)</f>
        <v/>
      </c>
      <c r="G109" s="4"/>
      <c r="H109" s="4"/>
      <c r="I109" s="4"/>
      <c r="J109" s="4"/>
    </row>
    <row r="110" spans="2:10" x14ac:dyDescent="0.35">
      <c r="B110" s="4" t="str">
        <f>IF(Base_de_donnee_articles!B110="","",Base_de_donnee_articles!B110)</f>
        <v/>
      </c>
      <c r="C110" s="8" t="e">
        <f>Etat_des_stocks!G110*Base_de_donnee_articles!D110</f>
        <v>#VALUE!</v>
      </c>
      <c r="D110" s="26" t="e">
        <f>Etat_des_stocks!F110*Base_de_donnee_articles!D110</f>
        <v>#DIV/0!</v>
      </c>
      <c r="E110" s="4" t="str">
        <f>IF(Base_de_donnee_articles!E110="","",Base_de_donnee_articles!E110)</f>
        <v/>
      </c>
      <c r="G110" s="4"/>
      <c r="H110" s="4"/>
      <c r="I110" s="4"/>
      <c r="J110" s="4"/>
    </row>
    <row r="111" spans="2:10" x14ac:dyDescent="0.35">
      <c r="B111" s="4" t="str">
        <f>IF(Base_de_donnee_articles!B111="","",Base_de_donnee_articles!B111)</f>
        <v/>
      </c>
      <c r="C111" s="8" t="e">
        <f>Etat_des_stocks!G111*Base_de_donnee_articles!D111</f>
        <v>#VALUE!</v>
      </c>
      <c r="D111" s="26" t="e">
        <f>Etat_des_stocks!F111*Base_de_donnee_articles!D111</f>
        <v>#DIV/0!</v>
      </c>
      <c r="E111" s="4" t="str">
        <f>IF(Base_de_donnee_articles!E111="","",Base_de_donnee_articles!E111)</f>
        <v/>
      </c>
      <c r="G111" s="4"/>
      <c r="H111" s="4"/>
      <c r="I111" s="4"/>
      <c r="J111" s="4"/>
    </row>
    <row r="112" spans="2:10" x14ac:dyDescent="0.35">
      <c r="B112" s="4" t="str">
        <f>IF(Base_de_donnee_articles!B112="","",Base_de_donnee_articles!B112)</f>
        <v/>
      </c>
      <c r="C112" s="8" t="e">
        <f>Etat_des_stocks!G112*Base_de_donnee_articles!D112</f>
        <v>#VALUE!</v>
      </c>
      <c r="D112" s="26" t="e">
        <f>Etat_des_stocks!F112*Base_de_donnee_articles!D112</f>
        <v>#DIV/0!</v>
      </c>
      <c r="E112" s="4" t="str">
        <f>IF(Base_de_donnee_articles!E112="","",Base_de_donnee_articles!E112)</f>
        <v/>
      </c>
      <c r="G112" s="4"/>
      <c r="H112" s="4"/>
      <c r="I112" s="4"/>
      <c r="J112" s="4"/>
    </row>
    <row r="113" spans="2:10" x14ac:dyDescent="0.35">
      <c r="B113" s="4" t="str">
        <f>IF(Base_de_donnee_articles!B113="","",Base_de_donnee_articles!B113)</f>
        <v/>
      </c>
      <c r="C113" s="8" t="e">
        <f>Etat_des_stocks!G113*Base_de_donnee_articles!D113</f>
        <v>#VALUE!</v>
      </c>
      <c r="D113" s="26" t="e">
        <f>Etat_des_stocks!F113*Base_de_donnee_articles!D113</f>
        <v>#DIV/0!</v>
      </c>
      <c r="E113" s="4" t="str">
        <f>IF(Base_de_donnee_articles!E113="","",Base_de_donnee_articles!E113)</f>
        <v/>
      </c>
      <c r="G113" s="4"/>
      <c r="H113" s="4"/>
      <c r="I113" s="4"/>
      <c r="J113" s="4"/>
    </row>
    <row r="114" spans="2:10" x14ac:dyDescent="0.35">
      <c r="B114" s="4" t="str">
        <f>IF(Base_de_donnee_articles!B114="","",Base_de_donnee_articles!B114)</f>
        <v/>
      </c>
      <c r="C114" s="8" t="e">
        <f>Etat_des_stocks!G114*Base_de_donnee_articles!D114</f>
        <v>#VALUE!</v>
      </c>
      <c r="D114" s="26" t="e">
        <f>Etat_des_stocks!F114*Base_de_donnee_articles!D114</f>
        <v>#DIV/0!</v>
      </c>
      <c r="E114" s="4" t="str">
        <f>IF(Base_de_donnee_articles!E114="","",Base_de_donnee_articles!E114)</f>
        <v/>
      </c>
      <c r="G114" s="4"/>
      <c r="H114" s="4"/>
      <c r="I114" s="4"/>
      <c r="J114" s="4"/>
    </row>
    <row r="115" spans="2:10" x14ac:dyDescent="0.35">
      <c r="B115" s="4" t="str">
        <f>IF(Base_de_donnee_articles!B115="","",Base_de_donnee_articles!B115)</f>
        <v/>
      </c>
      <c r="C115" s="8" t="e">
        <f>Etat_des_stocks!G115*Base_de_donnee_articles!D115</f>
        <v>#VALUE!</v>
      </c>
      <c r="D115" s="26" t="e">
        <f>Etat_des_stocks!F115*Base_de_donnee_articles!D115</f>
        <v>#DIV/0!</v>
      </c>
      <c r="E115" s="4" t="str">
        <f>IF(Base_de_donnee_articles!E115="","",Base_de_donnee_articles!E115)</f>
        <v/>
      </c>
      <c r="G115" s="4"/>
      <c r="H115" s="4"/>
      <c r="I115" s="4"/>
      <c r="J115" s="4"/>
    </row>
    <row r="116" spans="2:10" x14ac:dyDescent="0.35">
      <c r="B116" s="4" t="str">
        <f>IF(Base_de_donnee_articles!B116="","",Base_de_donnee_articles!B116)</f>
        <v/>
      </c>
      <c r="C116" s="8" t="e">
        <f>Etat_des_stocks!G116*Base_de_donnee_articles!D116</f>
        <v>#VALUE!</v>
      </c>
      <c r="D116" s="26" t="e">
        <f>Etat_des_stocks!F116*Base_de_donnee_articles!D116</f>
        <v>#DIV/0!</v>
      </c>
      <c r="E116" s="4" t="str">
        <f>IF(Base_de_donnee_articles!E116="","",Base_de_donnee_articles!E116)</f>
        <v/>
      </c>
      <c r="G116" s="4"/>
      <c r="H116" s="4"/>
      <c r="I116" s="4"/>
      <c r="J116" s="4"/>
    </row>
    <row r="117" spans="2:10" x14ac:dyDescent="0.35">
      <c r="B117" s="4" t="str">
        <f>IF(Base_de_donnee_articles!B117="","",Base_de_donnee_articles!B117)</f>
        <v/>
      </c>
      <c r="C117" s="8" t="e">
        <f>Etat_des_stocks!G117*Base_de_donnee_articles!D117</f>
        <v>#VALUE!</v>
      </c>
      <c r="D117" s="26" t="e">
        <f>Etat_des_stocks!F117*Base_de_donnee_articles!D117</f>
        <v>#DIV/0!</v>
      </c>
      <c r="E117" s="4" t="str">
        <f>IF(Base_de_donnee_articles!E117="","",Base_de_donnee_articles!E117)</f>
        <v/>
      </c>
      <c r="G117" s="4"/>
      <c r="H117" s="4"/>
      <c r="I117" s="4"/>
      <c r="J117" s="4"/>
    </row>
    <row r="118" spans="2:10" x14ac:dyDescent="0.35">
      <c r="B118" s="4" t="str">
        <f>IF(Base_de_donnee_articles!B118="","",Base_de_donnee_articles!B118)</f>
        <v/>
      </c>
      <c r="C118" s="8" t="e">
        <f>Etat_des_stocks!G118*Base_de_donnee_articles!D118</f>
        <v>#VALUE!</v>
      </c>
      <c r="D118" s="26" t="e">
        <f>Etat_des_stocks!F118*Base_de_donnee_articles!D118</f>
        <v>#DIV/0!</v>
      </c>
      <c r="E118" s="4" t="str">
        <f>IF(Base_de_donnee_articles!E118="","",Base_de_donnee_articles!E118)</f>
        <v/>
      </c>
      <c r="G118" s="4"/>
      <c r="H118" s="4"/>
      <c r="I118" s="4"/>
      <c r="J118" s="4"/>
    </row>
    <row r="119" spans="2:10" x14ac:dyDescent="0.35">
      <c r="B119" s="4" t="str">
        <f>IF(Base_de_donnee_articles!B119="","",Base_de_donnee_articles!B119)</f>
        <v/>
      </c>
      <c r="C119" s="8" t="e">
        <f>Etat_des_stocks!G119*Base_de_donnee_articles!D119</f>
        <v>#VALUE!</v>
      </c>
      <c r="D119" s="26" t="e">
        <f>Etat_des_stocks!F119*Base_de_donnee_articles!D119</f>
        <v>#DIV/0!</v>
      </c>
      <c r="E119" s="4" t="str">
        <f>IF(Base_de_donnee_articles!E119="","",Base_de_donnee_articles!E119)</f>
        <v/>
      </c>
      <c r="G119" s="4"/>
      <c r="H119" s="4"/>
      <c r="I119" s="4"/>
      <c r="J119" s="4"/>
    </row>
    <row r="120" spans="2:10" x14ac:dyDescent="0.35">
      <c r="B120" s="4" t="str">
        <f>IF(Base_de_donnee_articles!B120="","",Base_de_donnee_articles!B120)</f>
        <v/>
      </c>
      <c r="C120" s="8" t="e">
        <f>Etat_des_stocks!G120*Base_de_donnee_articles!D120</f>
        <v>#VALUE!</v>
      </c>
      <c r="D120" s="26" t="e">
        <f>Etat_des_stocks!F120*Base_de_donnee_articles!D120</f>
        <v>#DIV/0!</v>
      </c>
      <c r="E120" s="4" t="str">
        <f>IF(Base_de_donnee_articles!E120="","",Base_de_donnee_articles!E120)</f>
        <v/>
      </c>
      <c r="G120" s="4"/>
      <c r="H120" s="4"/>
      <c r="I120" s="4"/>
      <c r="J120" s="4"/>
    </row>
    <row r="121" spans="2:10" x14ac:dyDescent="0.35">
      <c r="B121" s="4" t="str">
        <f>IF(Base_de_donnee_articles!B121="","",Base_de_donnee_articles!B121)</f>
        <v/>
      </c>
      <c r="C121" s="8" t="e">
        <f>Etat_des_stocks!G121*Base_de_donnee_articles!D121</f>
        <v>#VALUE!</v>
      </c>
      <c r="D121" s="26" t="e">
        <f>Etat_des_stocks!F121*Base_de_donnee_articles!D121</f>
        <v>#DIV/0!</v>
      </c>
      <c r="E121" s="4" t="str">
        <f>IF(Base_de_donnee_articles!E121="","",Base_de_donnee_articles!E121)</f>
        <v/>
      </c>
      <c r="G121" s="4"/>
      <c r="H121" s="4"/>
      <c r="I121" s="4"/>
      <c r="J121" s="4"/>
    </row>
    <row r="122" spans="2:10" x14ac:dyDescent="0.35">
      <c r="B122" s="4" t="str">
        <f>IF(Base_de_donnee_articles!B122="","",Base_de_donnee_articles!B122)</f>
        <v/>
      </c>
      <c r="C122" s="8" t="e">
        <f>Etat_des_stocks!G122*Base_de_donnee_articles!D122</f>
        <v>#VALUE!</v>
      </c>
      <c r="D122" s="26" t="e">
        <f>Etat_des_stocks!F122*Base_de_donnee_articles!D122</f>
        <v>#DIV/0!</v>
      </c>
      <c r="E122" s="4" t="str">
        <f>IF(Base_de_donnee_articles!E122="","",Base_de_donnee_articles!E122)</f>
        <v/>
      </c>
      <c r="G122" s="4"/>
      <c r="H122" s="4"/>
      <c r="I122" s="4"/>
      <c r="J122" s="4"/>
    </row>
    <row r="123" spans="2:10" x14ac:dyDescent="0.35">
      <c r="B123" s="4" t="str">
        <f>IF(Base_de_donnee_articles!B123="","",Base_de_donnee_articles!B123)</f>
        <v/>
      </c>
      <c r="C123" s="8" t="e">
        <f>Etat_des_stocks!G123*Base_de_donnee_articles!D123</f>
        <v>#VALUE!</v>
      </c>
      <c r="D123" s="26" t="e">
        <f>Etat_des_stocks!F123*Base_de_donnee_articles!D123</f>
        <v>#DIV/0!</v>
      </c>
      <c r="E123" s="4" t="str">
        <f>IF(Base_de_donnee_articles!E123="","",Base_de_donnee_articles!E123)</f>
        <v/>
      </c>
      <c r="G123" s="4"/>
      <c r="H123" s="4"/>
      <c r="I123" s="4"/>
      <c r="J123" s="4"/>
    </row>
    <row r="124" spans="2:10" x14ac:dyDescent="0.35">
      <c r="B124" s="4" t="str">
        <f>IF(Base_de_donnee_articles!B124="","",Base_de_donnee_articles!B124)</f>
        <v/>
      </c>
      <c r="C124" s="8" t="e">
        <f>Etat_des_stocks!G124*Base_de_donnee_articles!D124</f>
        <v>#VALUE!</v>
      </c>
      <c r="D124" s="26" t="e">
        <f>Etat_des_stocks!F124*Base_de_donnee_articles!D124</f>
        <v>#DIV/0!</v>
      </c>
      <c r="E124" s="4" t="str">
        <f>IF(Base_de_donnee_articles!E124="","",Base_de_donnee_articles!E124)</f>
        <v/>
      </c>
      <c r="G124" s="4"/>
      <c r="H124" s="4"/>
      <c r="I124" s="4"/>
      <c r="J124" s="4"/>
    </row>
    <row r="125" spans="2:10" x14ac:dyDescent="0.35">
      <c r="B125" s="4" t="str">
        <f>IF(Base_de_donnee_articles!B125="","",Base_de_donnee_articles!B125)</f>
        <v/>
      </c>
      <c r="C125" s="8" t="e">
        <f>Etat_des_stocks!G125*Base_de_donnee_articles!D125</f>
        <v>#VALUE!</v>
      </c>
      <c r="D125" s="26" t="e">
        <f>Etat_des_stocks!F125*Base_de_donnee_articles!D125</f>
        <v>#DIV/0!</v>
      </c>
      <c r="E125" s="4" t="str">
        <f>IF(Base_de_donnee_articles!E125="","",Base_de_donnee_articles!E125)</f>
        <v/>
      </c>
      <c r="G125" s="4"/>
      <c r="H125" s="4"/>
      <c r="I125" s="4"/>
      <c r="J125" s="4"/>
    </row>
    <row r="126" spans="2:10" x14ac:dyDescent="0.35">
      <c r="B126" s="4" t="str">
        <f>IF(Base_de_donnee_articles!B126="","",Base_de_donnee_articles!B126)</f>
        <v/>
      </c>
      <c r="C126" s="8" t="e">
        <f>Etat_des_stocks!G126*Base_de_donnee_articles!D126</f>
        <v>#VALUE!</v>
      </c>
      <c r="D126" s="26" t="e">
        <f>Etat_des_stocks!F126*Base_de_donnee_articles!D126</f>
        <v>#DIV/0!</v>
      </c>
      <c r="E126" s="4" t="str">
        <f>IF(Base_de_donnee_articles!E126="","",Base_de_donnee_articles!E126)</f>
        <v/>
      </c>
      <c r="G126" s="4"/>
      <c r="H126" s="4"/>
      <c r="I126" s="4"/>
      <c r="J126" s="4"/>
    </row>
    <row r="127" spans="2:10" x14ac:dyDescent="0.35">
      <c r="B127" s="4" t="str">
        <f>IF(Base_de_donnee_articles!B127="","",Base_de_donnee_articles!B127)</f>
        <v/>
      </c>
      <c r="C127" s="8" t="e">
        <f>Etat_des_stocks!G127*Base_de_donnee_articles!D127</f>
        <v>#VALUE!</v>
      </c>
      <c r="D127" s="26" t="e">
        <f>Etat_des_stocks!F127*Base_de_donnee_articles!D127</f>
        <v>#DIV/0!</v>
      </c>
      <c r="E127" s="4" t="str">
        <f>IF(Base_de_donnee_articles!E127="","",Base_de_donnee_articles!E127)</f>
        <v/>
      </c>
      <c r="G127" s="4"/>
      <c r="H127" s="4"/>
      <c r="I127" s="4"/>
      <c r="J127" s="4"/>
    </row>
    <row r="128" spans="2:10" x14ac:dyDescent="0.35">
      <c r="B128" s="4" t="str">
        <f>IF(Base_de_donnee_articles!B128="","",Base_de_donnee_articles!B128)</f>
        <v/>
      </c>
      <c r="C128" s="8" t="e">
        <f>Etat_des_stocks!G128*Base_de_donnee_articles!D128</f>
        <v>#VALUE!</v>
      </c>
      <c r="D128" s="26" t="e">
        <f>Etat_des_stocks!F128*Base_de_donnee_articles!D128</f>
        <v>#DIV/0!</v>
      </c>
      <c r="E128" s="4" t="str">
        <f>IF(Base_de_donnee_articles!E128="","",Base_de_donnee_articles!E128)</f>
        <v/>
      </c>
      <c r="G128" s="4"/>
      <c r="H128" s="4"/>
      <c r="I128" s="4"/>
      <c r="J128" s="4"/>
    </row>
    <row r="129" spans="2:10" x14ac:dyDescent="0.35">
      <c r="B129" s="4" t="str">
        <f>IF(Base_de_donnee_articles!B129="","",Base_de_donnee_articles!B129)</f>
        <v/>
      </c>
      <c r="C129" s="8" t="e">
        <f>Etat_des_stocks!G129*Base_de_donnee_articles!D129</f>
        <v>#VALUE!</v>
      </c>
      <c r="D129" s="26" t="e">
        <f>Etat_des_stocks!F129*Base_de_donnee_articles!D129</f>
        <v>#DIV/0!</v>
      </c>
      <c r="E129" s="4" t="str">
        <f>IF(Base_de_donnee_articles!E129="","",Base_de_donnee_articles!E129)</f>
        <v/>
      </c>
      <c r="G129" s="4"/>
      <c r="H129" s="4"/>
      <c r="I129" s="4"/>
      <c r="J129" s="4"/>
    </row>
    <row r="130" spans="2:10" x14ac:dyDescent="0.35">
      <c r="B130" s="4" t="str">
        <f>IF(Base_de_donnee_articles!B130="","",Base_de_donnee_articles!B130)</f>
        <v/>
      </c>
      <c r="C130" s="8" t="e">
        <f>Etat_des_stocks!G130*Base_de_donnee_articles!D130</f>
        <v>#VALUE!</v>
      </c>
      <c r="D130" s="26" t="e">
        <f>Etat_des_stocks!F130*Base_de_donnee_articles!D130</f>
        <v>#DIV/0!</v>
      </c>
      <c r="E130" s="4" t="str">
        <f>IF(Base_de_donnee_articles!E130="","",Base_de_donnee_articles!E130)</f>
        <v/>
      </c>
      <c r="G130" s="4"/>
      <c r="H130" s="4"/>
      <c r="I130" s="4"/>
      <c r="J130" s="4"/>
    </row>
    <row r="131" spans="2:10" x14ac:dyDescent="0.35">
      <c r="B131" s="4" t="str">
        <f>IF(Base_de_donnee_articles!B131="","",Base_de_donnee_articles!B131)</f>
        <v/>
      </c>
      <c r="C131" s="8" t="e">
        <f>Etat_des_stocks!G131*Base_de_donnee_articles!D131</f>
        <v>#VALUE!</v>
      </c>
      <c r="D131" s="26" t="e">
        <f>Etat_des_stocks!F131*Base_de_donnee_articles!D131</f>
        <v>#DIV/0!</v>
      </c>
      <c r="E131" s="4" t="str">
        <f>IF(Base_de_donnee_articles!E131="","",Base_de_donnee_articles!E131)</f>
        <v/>
      </c>
      <c r="G131" s="4"/>
      <c r="H131" s="4"/>
      <c r="I131" s="4"/>
      <c r="J131" s="4"/>
    </row>
    <row r="132" spans="2:10" x14ac:dyDescent="0.35">
      <c r="B132" s="4" t="str">
        <f>IF(Base_de_donnee_articles!B132="","",Base_de_donnee_articles!B132)</f>
        <v/>
      </c>
      <c r="C132" s="8" t="e">
        <f>Etat_des_stocks!G132*Base_de_donnee_articles!D132</f>
        <v>#VALUE!</v>
      </c>
      <c r="D132" s="26" t="e">
        <f>Etat_des_stocks!F132*Base_de_donnee_articles!D132</f>
        <v>#DIV/0!</v>
      </c>
      <c r="E132" s="4" t="str">
        <f>IF(Base_de_donnee_articles!E132="","",Base_de_donnee_articles!E132)</f>
        <v/>
      </c>
      <c r="G132" s="4"/>
      <c r="H132" s="4"/>
      <c r="I132" s="4"/>
      <c r="J132" s="4"/>
    </row>
    <row r="133" spans="2:10" x14ac:dyDescent="0.35">
      <c r="B133" s="4" t="str">
        <f>IF(Base_de_donnee_articles!B133="","",Base_de_donnee_articles!B133)</f>
        <v/>
      </c>
      <c r="C133" s="8" t="e">
        <f>Etat_des_stocks!G133*Base_de_donnee_articles!D133</f>
        <v>#VALUE!</v>
      </c>
      <c r="D133" s="26" t="e">
        <f>Etat_des_stocks!F133*Base_de_donnee_articles!D133</f>
        <v>#DIV/0!</v>
      </c>
      <c r="E133" s="4" t="str">
        <f>IF(Base_de_donnee_articles!E133="","",Base_de_donnee_articles!E133)</f>
        <v/>
      </c>
      <c r="G133" s="4"/>
      <c r="H133" s="4"/>
      <c r="I133" s="4"/>
      <c r="J133" s="4"/>
    </row>
    <row r="134" spans="2:10" x14ac:dyDescent="0.35">
      <c r="B134" s="4" t="str">
        <f>IF(Base_de_donnee_articles!B134="","",Base_de_donnee_articles!B134)</f>
        <v/>
      </c>
      <c r="C134" s="8" t="e">
        <f>Etat_des_stocks!G134*Base_de_donnee_articles!D134</f>
        <v>#VALUE!</v>
      </c>
      <c r="D134" s="26" t="e">
        <f>Etat_des_stocks!F134*Base_de_donnee_articles!D134</f>
        <v>#DIV/0!</v>
      </c>
      <c r="E134" s="4" t="str">
        <f>IF(Base_de_donnee_articles!E134="","",Base_de_donnee_articles!E134)</f>
        <v/>
      </c>
      <c r="G134" s="4"/>
      <c r="H134" s="4"/>
      <c r="I134" s="4"/>
      <c r="J134" s="4"/>
    </row>
    <row r="135" spans="2:10" x14ac:dyDescent="0.35">
      <c r="B135" s="4" t="str">
        <f>IF(Base_de_donnee_articles!B135="","",Base_de_donnee_articles!B135)</f>
        <v/>
      </c>
      <c r="C135" s="8" t="e">
        <f>Etat_des_stocks!G135*Base_de_donnee_articles!D135</f>
        <v>#VALUE!</v>
      </c>
      <c r="D135" s="26" t="e">
        <f>Etat_des_stocks!F135*Base_de_donnee_articles!D135</f>
        <v>#DIV/0!</v>
      </c>
      <c r="E135" s="4" t="str">
        <f>IF(Base_de_donnee_articles!E135="","",Base_de_donnee_articles!E135)</f>
        <v/>
      </c>
      <c r="G135" s="4"/>
      <c r="H135" s="4"/>
      <c r="I135" s="4"/>
      <c r="J135" s="4"/>
    </row>
    <row r="136" spans="2:10" x14ac:dyDescent="0.35">
      <c r="B136" s="4" t="str">
        <f>IF(Base_de_donnee_articles!B136="","",Base_de_donnee_articles!B136)</f>
        <v/>
      </c>
      <c r="C136" s="8" t="e">
        <f>Etat_des_stocks!G136*Base_de_donnee_articles!D136</f>
        <v>#VALUE!</v>
      </c>
      <c r="D136" s="26" t="e">
        <f>Etat_des_stocks!F136*Base_de_donnee_articles!D136</f>
        <v>#DIV/0!</v>
      </c>
      <c r="E136" s="4" t="str">
        <f>IF(Base_de_donnee_articles!E136="","",Base_de_donnee_articles!E136)</f>
        <v/>
      </c>
      <c r="G136" s="4"/>
      <c r="H136" s="4"/>
      <c r="I136" s="4"/>
      <c r="J136" s="4"/>
    </row>
    <row r="137" spans="2:10" x14ac:dyDescent="0.35">
      <c r="B137" s="4" t="str">
        <f>IF(Base_de_donnee_articles!B137="","",Base_de_donnee_articles!B137)</f>
        <v/>
      </c>
      <c r="C137" s="8" t="e">
        <f>Etat_des_stocks!G137*Base_de_donnee_articles!D137</f>
        <v>#VALUE!</v>
      </c>
      <c r="D137" s="26" t="e">
        <f>Etat_des_stocks!F137*Base_de_donnee_articles!D137</f>
        <v>#DIV/0!</v>
      </c>
      <c r="E137" s="4" t="str">
        <f>IF(Base_de_donnee_articles!E137="","",Base_de_donnee_articles!E137)</f>
        <v/>
      </c>
      <c r="G137" s="4"/>
      <c r="H137" s="4"/>
      <c r="I137" s="4"/>
      <c r="J137" s="4"/>
    </row>
    <row r="138" spans="2:10" x14ac:dyDescent="0.35">
      <c r="B138" s="4" t="str">
        <f>IF(Base_de_donnee_articles!B138="","",Base_de_donnee_articles!B138)</f>
        <v/>
      </c>
      <c r="C138" s="8" t="e">
        <f>Etat_des_stocks!G138*Base_de_donnee_articles!D138</f>
        <v>#VALUE!</v>
      </c>
      <c r="D138" s="26" t="e">
        <f>Etat_des_stocks!F138*Base_de_donnee_articles!D138</f>
        <v>#DIV/0!</v>
      </c>
      <c r="E138" s="4" t="str">
        <f>IF(Base_de_donnee_articles!E138="","",Base_de_donnee_articles!E138)</f>
        <v/>
      </c>
      <c r="G138" s="4"/>
      <c r="H138" s="4"/>
      <c r="I138" s="4"/>
      <c r="J138" s="4"/>
    </row>
    <row r="139" spans="2:10" x14ac:dyDescent="0.35">
      <c r="B139" s="4" t="str">
        <f>IF(Base_de_donnee_articles!B139="","",Base_de_donnee_articles!B139)</f>
        <v/>
      </c>
      <c r="C139" s="8" t="e">
        <f>Etat_des_stocks!G139*Base_de_donnee_articles!D139</f>
        <v>#VALUE!</v>
      </c>
      <c r="D139" s="26" t="e">
        <f>Etat_des_stocks!F139*Base_de_donnee_articles!D139</f>
        <v>#DIV/0!</v>
      </c>
      <c r="E139" s="4" t="str">
        <f>IF(Base_de_donnee_articles!E139="","",Base_de_donnee_articles!E139)</f>
        <v/>
      </c>
      <c r="G139" s="4"/>
      <c r="H139" s="4"/>
      <c r="I139" s="4"/>
      <c r="J139" s="4"/>
    </row>
    <row r="140" spans="2:10" x14ac:dyDescent="0.35">
      <c r="B140" s="4" t="str">
        <f>IF(Base_de_donnee_articles!B140="","",Base_de_donnee_articles!B140)</f>
        <v/>
      </c>
      <c r="C140" s="8" t="e">
        <f>Etat_des_stocks!G140*Base_de_donnee_articles!D140</f>
        <v>#VALUE!</v>
      </c>
      <c r="D140" s="26" t="e">
        <f>Etat_des_stocks!F140*Base_de_donnee_articles!D140</f>
        <v>#DIV/0!</v>
      </c>
      <c r="E140" s="4" t="str">
        <f>IF(Base_de_donnee_articles!E140="","",Base_de_donnee_articles!E140)</f>
        <v/>
      </c>
      <c r="G140" s="4"/>
      <c r="H140" s="4"/>
      <c r="I140" s="4"/>
      <c r="J140" s="4"/>
    </row>
    <row r="141" spans="2:10" x14ac:dyDescent="0.35">
      <c r="B141" s="4" t="str">
        <f>IF(Base_de_donnee_articles!B141="","",Base_de_donnee_articles!B141)</f>
        <v/>
      </c>
      <c r="C141" s="8" t="e">
        <f>Etat_des_stocks!G141*Base_de_donnee_articles!D141</f>
        <v>#VALUE!</v>
      </c>
      <c r="D141" s="26" t="e">
        <f>Etat_des_stocks!F141*Base_de_donnee_articles!D141</f>
        <v>#DIV/0!</v>
      </c>
      <c r="E141" s="4" t="str">
        <f>IF(Base_de_donnee_articles!E141="","",Base_de_donnee_articles!E141)</f>
        <v/>
      </c>
      <c r="G141" s="4"/>
      <c r="H141" s="4"/>
      <c r="I141" s="4"/>
      <c r="J141" s="4"/>
    </row>
    <row r="142" spans="2:10" x14ac:dyDescent="0.35">
      <c r="B142" s="4" t="str">
        <f>IF(Base_de_donnee_articles!B142="","",Base_de_donnee_articles!B142)</f>
        <v/>
      </c>
      <c r="C142" s="8" t="e">
        <f>Etat_des_stocks!G142*Base_de_donnee_articles!D142</f>
        <v>#VALUE!</v>
      </c>
      <c r="D142" s="26" t="e">
        <f>Etat_des_stocks!F142*Base_de_donnee_articles!D142</f>
        <v>#DIV/0!</v>
      </c>
      <c r="E142" s="4" t="str">
        <f>IF(Base_de_donnee_articles!E142="","",Base_de_donnee_articles!E142)</f>
        <v/>
      </c>
      <c r="G142" s="4"/>
      <c r="H142" s="4"/>
      <c r="I142" s="4"/>
      <c r="J142" s="4"/>
    </row>
    <row r="143" spans="2:10" x14ac:dyDescent="0.35">
      <c r="B143" s="4" t="str">
        <f>IF(Base_de_donnee_articles!B143="","",Base_de_donnee_articles!B143)</f>
        <v/>
      </c>
      <c r="C143" s="8" t="e">
        <f>Etat_des_stocks!G143*Base_de_donnee_articles!D143</f>
        <v>#VALUE!</v>
      </c>
      <c r="D143" s="26" t="e">
        <f>Etat_des_stocks!F143*Base_de_donnee_articles!D143</f>
        <v>#DIV/0!</v>
      </c>
      <c r="E143" s="4" t="str">
        <f>IF(Base_de_donnee_articles!E143="","",Base_de_donnee_articles!E143)</f>
        <v/>
      </c>
      <c r="G143" s="4"/>
      <c r="H143" s="4"/>
      <c r="I143" s="4"/>
      <c r="J143" s="4"/>
    </row>
    <row r="144" spans="2:10" x14ac:dyDescent="0.35">
      <c r="B144" s="4" t="str">
        <f>IF(Base_de_donnee_articles!B144="","",Base_de_donnee_articles!B144)</f>
        <v/>
      </c>
      <c r="C144" s="8" t="e">
        <f>Etat_des_stocks!G144*Base_de_donnee_articles!D144</f>
        <v>#VALUE!</v>
      </c>
      <c r="D144" s="26" t="e">
        <f>Etat_des_stocks!F144*Base_de_donnee_articles!D144</f>
        <v>#DIV/0!</v>
      </c>
      <c r="E144" s="4" t="str">
        <f>IF(Base_de_donnee_articles!E144="","",Base_de_donnee_articles!E144)</f>
        <v/>
      </c>
      <c r="G144" s="4"/>
      <c r="H144" s="4"/>
      <c r="I144" s="4"/>
      <c r="J144" s="4"/>
    </row>
    <row r="145" spans="2:10" x14ac:dyDescent="0.35">
      <c r="B145" s="4" t="str">
        <f>IF(Base_de_donnee_articles!B145="","",Base_de_donnee_articles!B145)</f>
        <v/>
      </c>
      <c r="C145" s="8" t="e">
        <f>Etat_des_stocks!G145*Base_de_donnee_articles!D145</f>
        <v>#VALUE!</v>
      </c>
      <c r="D145" s="26" t="e">
        <f>Etat_des_stocks!F145*Base_de_donnee_articles!D145</f>
        <v>#DIV/0!</v>
      </c>
      <c r="E145" s="4" t="str">
        <f>IF(Base_de_donnee_articles!E145="","",Base_de_donnee_articles!E145)</f>
        <v/>
      </c>
      <c r="G145" s="4"/>
      <c r="H145" s="4"/>
      <c r="I145" s="4"/>
      <c r="J145" s="4"/>
    </row>
    <row r="146" spans="2:10" x14ac:dyDescent="0.35">
      <c r="B146" s="4" t="str">
        <f>IF(Base_de_donnee_articles!B146="","",Base_de_donnee_articles!B146)</f>
        <v/>
      </c>
      <c r="C146" s="8" t="e">
        <f>Etat_des_stocks!G146*Base_de_donnee_articles!D146</f>
        <v>#VALUE!</v>
      </c>
      <c r="D146" s="26" t="e">
        <f>Etat_des_stocks!F146*Base_de_donnee_articles!D146</f>
        <v>#DIV/0!</v>
      </c>
      <c r="E146" s="4" t="str">
        <f>IF(Base_de_donnee_articles!E146="","",Base_de_donnee_articles!E146)</f>
        <v/>
      </c>
      <c r="G146" s="4"/>
      <c r="H146" s="4"/>
      <c r="I146" s="4"/>
      <c r="J146" s="4"/>
    </row>
    <row r="147" spans="2:10" x14ac:dyDescent="0.35">
      <c r="B147" s="4" t="str">
        <f>IF(Base_de_donnee_articles!B147="","",Base_de_donnee_articles!B147)</f>
        <v/>
      </c>
      <c r="C147" s="8" t="e">
        <f>Etat_des_stocks!G147*Base_de_donnee_articles!D147</f>
        <v>#VALUE!</v>
      </c>
      <c r="D147" s="26" t="e">
        <f>Etat_des_stocks!F147*Base_de_donnee_articles!D147</f>
        <v>#DIV/0!</v>
      </c>
      <c r="E147" s="4" t="str">
        <f>IF(Base_de_donnee_articles!E147="","",Base_de_donnee_articles!E147)</f>
        <v/>
      </c>
      <c r="G147" s="4"/>
      <c r="H147" s="4"/>
      <c r="I147" s="4"/>
      <c r="J147" s="4"/>
    </row>
    <row r="148" spans="2:10" x14ac:dyDescent="0.35">
      <c r="B148" s="4" t="str">
        <f>IF(Base_de_donnee_articles!B148="","",Base_de_donnee_articles!B148)</f>
        <v/>
      </c>
      <c r="C148" s="8" t="e">
        <f>Etat_des_stocks!G148*Base_de_donnee_articles!D148</f>
        <v>#VALUE!</v>
      </c>
      <c r="D148" s="26" t="e">
        <f>Etat_des_stocks!F148*Base_de_donnee_articles!D148</f>
        <v>#DIV/0!</v>
      </c>
      <c r="E148" s="4" t="str">
        <f>IF(Base_de_donnee_articles!E148="","",Base_de_donnee_articles!E148)</f>
        <v/>
      </c>
      <c r="G148" s="4"/>
      <c r="H148" s="4"/>
      <c r="I148" s="4"/>
      <c r="J148" s="4"/>
    </row>
    <row r="149" spans="2:10" x14ac:dyDescent="0.35">
      <c r="B149" s="4" t="str">
        <f>IF(Base_de_donnee_articles!B149="","",Base_de_donnee_articles!B149)</f>
        <v/>
      </c>
      <c r="C149" s="8" t="e">
        <f>Etat_des_stocks!G149*Base_de_donnee_articles!D149</f>
        <v>#VALUE!</v>
      </c>
      <c r="D149" s="26" t="e">
        <f>Etat_des_stocks!F149*Base_de_donnee_articles!D149</f>
        <v>#DIV/0!</v>
      </c>
      <c r="E149" s="4" t="str">
        <f>IF(Base_de_donnee_articles!E149="","",Base_de_donnee_articles!E149)</f>
        <v/>
      </c>
      <c r="G149" s="4"/>
      <c r="H149" s="4"/>
      <c r="I149" s="4"/>
      <c r="J149" s="4"/>
    </row>
    <row r="150" spans="2:10" x14ac:dyDescent="0.35">
      <c r="B150" s="4" t="str">
        <f>IF(Base_de_donnee_articles!B150="","",Base_de_donnee_articles!B150)</f>
        <v/>
      </c>
      <c r="C150" s="8" t="e">
        <f>Etat_des_stocks!G150*Base_de_donnee_articles!D150</f>
        <v>#VALUE!</v>
      </c>
      <c r="D150" s="26" t="e">
        <f>Etat_des_stocks!F150*Base_de_donnee_articles!D150</f>
        <v>#DIV/0!</v>
      </c>
      <c r="E150" s="4" t="str">
        <f>IF(Base_de_donnee_articles!E150="","",Base_de_donnee_articles!E150)</f>
        <v/>
      </c>
      <c r="G150" s="4"/>
      <c r="H150" s="4"/>
      <c r="I150" s="4"/>
      <c r="J150" s="4"/>
    </row>
    <row r="151" spans="2:10" x14ac:dyDescent="0.35">
      <c r="B151" s="4" t="str">
        <f>IF(Base_de_donnee_articles!B151="","",Base_de_donnee_articles!B151)</f>
        <v/>
      </c>
      <c r="C151" s="8" t="e">
        <f>Etat_des_stocks!G151*Base_de_donnee_articles!D151</f>
        <v>#VALUE!</v>
      </c>
      <c r="D151" s="26" t="e">
        <f>Etat_des_stocks!F151*Base_de_donnee_articles!D151</f>
        <v>#DIV/0!</v>
      </c>
      <c r="E151" s="4" t="str">
        <f>IF(Base_de_donnee_articles!E151="","",Base_de_donnee_articles!E151)</f>
        <v/>
      </c>
      <c r="G151" s="4"/>
      <c r="H151" s="4"/>
      <c r="I151" s="4"/>
      <c r="J151" s="4"/>
    </row>
    <row r="152" spans="2:10" x14ac:dyDescent="0.35">
      <c r="B152" s="4" t="str">
        <f>IF(Base_de_donnee_articles!B152="","",Base_de_donnee_articles!B152)</f>
        <v/>
      </c>
      <c r="C152" s="8" t="e">
        <f>Etat_des_stocks!G152*Base_de_donnee_articles!D152</f>
        <v>#VALUE!</v>
      </c>
      <c r="D152" s="26" t="e">
        <f>Etat_des_stocks!F152*Base_de_donnee_articles!D152</f>
        <v>#DIV/0!</v>
      </c>
      <c r="E152" s="4" t="str">
        <f>IF(Base_de_donnee_articles!E152="","",Base_de_donnee_articles!E152)</f>
        <v/>
      </c>
      <c r="G152" s="4"/>
      <c r="H152" s="4"/>
      <c r="I152" s="4"/>
      <c r="J152" s="4"/>
    </row>
    <row r="153" spans="2:10" x14ac:dyDescent="0.35">
      <c r="B153" s="4" t="str">
        <f>IF(Base_de_donnee_articles!B153="","",Base_de_donnee_articles!B153)</f>
        <v/>
      </c>
      <c r="C153" s="8" t="e">
        <f>Etat_des_stocks!G153*Base_de_donnee_articles!D153</f>
        <v>#VALUE!</v>
      </c>
      <c r="D153" s="26" t="e">
        <f>Etat_des_stocks!F153*Base_de_donnee_articles!D153</f>
        <v>#DIV/0!</v>
      </c>
      <c r="E153" s="4" t="str">
        <f>IF(Base_de_donnee_articles!E153="","",Base_de_donnee_articles!E153)</f>
        <v/>
      </c>
      <c r="G153" s="4"/>
      <c r="H153" s="4"/>
      <c r="I153" s="4"/>
      <c r="J153" s="4"/>
    </row>
    <row r="154" spans="2:10" x14ac:dyDescent="0.35">
      <c r="B154" s="4" t="str">
        <f>IF(Base_de_donnee_articles!B154="","",Base_de_donnee_articles!B154)</f>
        <v/>
      </c>
      <c r="C154" s="8" t="e">
        <f>Etat_des_stocks!G154*Base_de_donnee_articles!D154</f>
        <v>#VALUE!</v>
      </c>
      <c r="D154" s="26" t="e">
        <f>Etat_des_stocks!F154*Base_de_donnee_articles!D154</f>
        <v>#DIV/0!</v>
      </c>
      <c r="E154" s="4" t="str">
        <f>IF(Base_de_donnee_articles!E154="","",Base_de_donnee_articles!E154)</f>
        <v/>
      </c>
      <c r="G154" s="4"/>
      <c r="H154" s="4"/>
      <c r="I154" s="4"/>
      <c r="J154" s="4"/>
    </row>
    <row r="155" spans="2:10" x14ac:dyDescent="0.35">
      <c r="B155" s="4" t="str">
        <f>IF(Base_de_donnee_articles!B155="","",Base_de_donnee_articles!B155)</f>
        <v/>
      </c>
      <c r="C155" s="8" t="e">
        <f>Etat_des_stocks!G155*Base_de_donnee_articles!D155</f>
        <v>#VALUE!</v>
      </c>
      <c r="D155" s="26" t="e">
        <f>Etat_des_stocks!F155*Base_de_donnee_articles!D155</f>
        <v>#DIV/0!</v>
      </c>
      <c r="E155" s="4" t="str">
        <f>IF(Base_de_donnee_articles!E155="","",Base_de_donnee_articles!E155)</f>
        <v/>
      </c>
      <c r="G155" s="4"/>
      <c r="H155" s="4"/>
      <c r="I155" s="4"/>
      <c r="J155" s="4"/>
    </row>
    <row r="156" spans="2:10" x14ac:dyDescent="0.35">
      <c r="B156" s="4" t="str">
        <f>IF(Base_de_donnee_articles!B156="","",Base_de_donnee_articles!B156)</f>
        <v/>
      </c>
      <c r="C156" s="8" t="e">
        <f>Etat_des_stocks!G156*Base_de_donnee_articles!D156</f>
        <v>#VALUE!</v>
      </c>
      <c r="D156" s="26" t="e">
        <f>Etat_des_stocks!F156*Base_de_donnee_articles!D156</f>
        <v>#DIV/0!</v>
      </c>
      <c r="E156" s="4" t="str">
        <f>IF(Base_de_donnee_articles!E156="","",Base_de_donnee_articles!E156)</f>
        <v/>
      </c>
      <c r="G156" s="4"/>
      <c r="H156" s="4"/>
      <c r="I156" s="4"/>
      <c r="J156" s="4"/>
    </row>
    <row r="157" spans="2:10" x14ac:dyDescent="0.35">
      <c r="B157" s="4" t="str">
        <f>IF(Base_de_donnee_articles!B157="","",Base_de_donnee_articles!B157)</f>
        <v/>
      </c>
      <c r="C157" s="8" t="e">
        <f>Etat_des_stocks!G157*Base_de_donnee_articles!D157</f>
        <v>#VALUE!</v>
      </c>
      <c r="D157" s="26" t="e">
        <f>Etat_des_stocks!F157*Base_de_donnee_articles!D157</f>
        <v>#DIV/0!</v>
      </c>
      <c r="E157" s="4" t="str">
        <f>IF(Base_de_donnee_articles!E157="","",Base_de_donnee_articles!E157)</f>
        <v/>
      </c>
      <c r="G157" s="4"/>
      <c r="H157" s="4"/>
      <c r="I157" s="4"/>
      <c r="J157" s="4"/>
    </row>
    <row r="158" spans="2:10" x14ac:dyDescent="0.35">
      <c r="B158" s="4" t="str">
        <f>IF(Base_de_donnee_articles!B158="","",Base_de_donnee_articles!B158)</f>
        <v/>
      </c>
      <c r="C158" s="8" t="e">
        <f>Etat_des_stocks!G158*Base_de_donnee_articles!D158</f>
        <v>#VALUE!</v>
      </c>
      <c r="D158" s="26" t="e">
        <f>Etat_des_stocks!F158*Base_de_donnee_articles!D158</f>
        <v>#DIV/0!</v>
      </c>
      <c r="E158" s="4" t="str">
        <f>IF(Base_de_donnee_articles!E158="","",Base_de_donnee_articles!E158)</f>
        <v/>
      </c>
      <c r="G158" s="4"/>
      <c r="H158" s="4"/>
      <c r="I158" s="4"/>
      <c r="J158" s="4"/>
    </row>
    <row r="159" spans="2:10" x14ac:dyDescent="0.35">
      <c r="B159" s="4" t="str">
        <f>IF(Base_de_donnee_articles!B159="","",Base_de_donnee_articles!B159)</f>
        <v/>
      </c>
      <c r="C159" s="8" t="e">
        <f>Etat_des_stocks!G159*Base_de_donnee_articles!D159</f>
        <v>#VALUE!</v>
      </c>
      <c r="D159" s="26" t="e">
        <f>Etat_des_stocks!F159*Base_de_donnee_articles!D159</f>
        <v>#DIV/0!</v>
      </c>
      <c r="E159" s="4" t="str">
        <f>IF(Base_de_donnee_articles!E159="","",Base_de_donnee_articles!E159)</f>
        <v/>
      </c>
      <c r="G159" s="4"/>
      <c r="H159" s="4"/>
      <c r="I159" s="4"/>
      <c r="J159" s="4"/>
    </row>
    <row r="160" spans="2:10" x14ac:dyDescent="0.35">
      <c r="B160" s="4" t="str">
        <f>IF(Base_de_donnee_articles!B160="","",Base_de_donnee_articles!B160)</f>
        <v/>
      </c>
      <c r="C160" s="8" t="e">
        <f>Etat_des_stocks!G160*Base_de_donnee_articles!D160</f>
        <v>#VALUE!</v>
      </c>
      <c r="D160" s="26" t="e">
        <f>Etat_des_stocks!F160*Base_de_donnee_articles!D160</f>
        <v>#DIV/0!</v>
      </c>
      <c r="E160" s="4" t="str">
        <f>IF(Base_de_donnee_articles!E160="","",Base_de_donnee_articles!E160)</f>
        <v/>
      </c>
      <c r="G160" s="4"/>
      <c r="H160" s="4"/>
      <c r="I160" s="4"/>
      <c r="J160" s="4"/>
    </row>
    <row r="161" spans="2:10" x14ac:dyDescent="0.35">
      <c r="B161" s="4" t="str">
        <f>IF(Base_de_donnee_articles!B161="","",Base_de_donnee_articles!B161)</f>
        <v/>
      </c>
      <c r="C161" s="8" t="e">
        <f>Etat_des_stocks!G161*Base_de_donnee_articles!D161</f>
        <v>#VALUE!</v>
      </c>
      <c r="D161" s="26" t="e">
        <f>Etat_des_stocks!F161*Base_de_donnee_articles!D161</f>
        <v>#DIV/0!</v>
      </c>
      <c r="E161" s="4" t="str">
        <f>IF(Base_de_donnee_articles!E161="","",Base_de_donnee_articles!E161)</f>
        <v/>
      </c>
      <c r="G161" s="4"/>
      <c r="H161" s="4"/>
      <c r="I161" s="4"/>
      <c r="J161" s="4"/>
    </row>
    <row r="162" spans="2:10" x14ac:dyDescent="0.35">
      <c r="B162" s="4" t="str">
        <f>IF(Base_de_donnee_articles!B162="","",Base_de_donnee_articles!B162)</f>
        <v/>
      </c>
      <c r="C162" s="8" t="e">
        <f>Etat_des_stocks!G162*Base_de_donnee_articles!D162</f>
        <v>#VALUE!</v>
      </c>
      <c r="D162" s="26" t="e">
        <f>Etat_des_stocks!F162*Base_de_donnee_articles!D162</f>
        <v>#DIV/0!</v>
      </c>
      <c r="E162" s="4" t="str">
        <f>IF(Base_de_donnee_articles!E162="","",Base_de_donnee_articles!E162)</f>
        <v/>
      </c>
      <c r="G162" s="4"/>
      <c r="H162" s="4"/>
      <c r="I162" s="4"/>
      <c r="J162" s="4"/>
    </row>
    <row r="163" spans="2:10" x14ac:dyDescent="0.35">
      <c r="B163" s="4" t="str">
        <f>IF(Base_de_donnee_articles!B163="","",Base_de_donnee_articles!B163)</f>
        <v/>
      </c>
      <c r="C163" s="8" t="e">
        <f>Etat_des_stocks!G163*Base_de_donnee_articles!D163</f>
        <v>#VALUE!</v>
      </c>
      <c r="D163" s="26" t="e">
        <f>Etat_des_stocks!F163*Base_de_donnee_articles!D163</f>
        <v>#DIV/0!</v>
      </c>
      <c r="E163" s="4" t="str">
        <f>IF(Base_de_donnee_articles!E163="","",Base_de_donnee_articles!E163)</f>
        <v/>
      </c>
      <c r="G163" s="4"/>
      <c r="H163" s="4"/>
      <c r="I163" s="4"/>
      <c r="J163" s="4"/>
    </row>
    <row r="164" spans="2:10" x14ac:dyDescent="0.35">
      <c r="B164" s="4" t="str">
        <f>IF(Base_de_donnee_articles!B164="","",Base_de_donnee_articles!B164)</f>
        <v/>
      </c>
      <c r="C164" s="8" t="e">
        <f>Etat_des_stocks!G164*Base_de_donnee_articles!D164</f>
        <v>#VALUE!</v>
      </c>
      <c r="D164" s="26" t="e">
        <f>Etat_des_stocks!F164*Base_de_donnee_articles!D164</f>
        <v>#DIV/0!</v>
      </c>
      <c r="E164" s="4" t="str">
        <f>IF(Base_de_donnee_articles!E164="","",Base_de_donnee_articles!E164)</f>
        <v/>
      </c>
      <c r="G164" s="4"/>
      <c r="H164" s="4"/>
      <c r="I164" s="4"/>
      <c r="J164" s="4"/>
    </row>
    <row r="165" spans="2:10" x14ac:dyDescent="0.35">
      <c r="B165" s="4" t="str">
        <f>IF(Base_de_donnee_articles!B165="","",Base_de_donnee_articles!B165)</f>
        <v/>
      </c>
      <c r="C165" s="8" t="e">
        <f>Etat_des_stocks!G165*Base_de_donnee_articles!D165</f>
        <v>#VALUE!</v>
      </c>
      <c r="D165" s="26" t="e">
        <f>Etat_des_stocks!F165*Base_de_donnee_articles!D165</f>
        <v>#DIV/0!</v>
      </c>
      <c r="E165" s="4" t="str">
        <f>IF(Base_de_donnee_articles!E165="","",Base_de_donnee_articles!E165)</f>
        <v/>
      </c>
      <c r="G165" s="4"/>
      <c r="H165" s="4"/>
      <c r="I165" s="4"/>
      <c r="J165" s="4"/>
    </row>
    <row r="166" spans="2:10" x14ac:dyDescent="0.35">
      <c r="B166" s="4" t="str">
        <f>IF(Base_de_donnee_articles!B166="","",Base_de_donnee_articles!B166)</f>
        <v/>
      </c>
      <c r="C166" s="8" t="e">
        <f>Etat_des_stocks!G166*Base_de_donnee_articles!D166</f>
        <v>#VALUE!</v>
      </c>
      <c r="D166" s="26" t="e">
        <f>Etat_des_stocks!F166*Base_de_donnee_articles!D166</f>
        <v>#DIV/0!</v>
      </c>
      <c r="E166" s="4" t="str">
        <f>IF(Base_de_donnee_articles!E166="","",Base_de_donnee_articles!E166)</f>
        <v/>
      </c>
      <c r="G166" s="4"/>
      <c r="H166" s="4"/>
      <c r="I166" s="4"/>
      <c r="J166" s="4"/>
    </row>
    <row r="167" spans="2:10" x14ac:dyDescent="0.35">
      <c r="B167" s="4" t="str">
        <f>IF(Base_de_donnee_articles!B167="","",Base_de_donnee_articles!B167)</f>
        <v/>
      </c>
      <c r="C167" s="8" t="e">
        <f>Etat_des_stocks!G167*Base_de_donnee_articles!D167</f>
        <v>#VALUE!</v>
      </c>
      <c r="D167" s="26" t="e">
        <f>Etat_des_stocks!F167*Base_de_donnee_articles!D167</f>
        <v>#DIV/0!</v>
      </c>
      <c r="E167" s="4" t="str">
        <f>IF(Base_de_donnee_articles!E167="","",Base_de_donnee_articles!E167)</f>
        <v/>
      </c>
      <c r="G167" s="4"/>
      <c r="H167" s="4"/>
      <c r="I167" s="4"/>
      <c r="J167" s="4"/>
    </row>
    <row r="168" spans="2:10" x14ac:dyDescent="0.35">
      <c r="B168" s="4" t="str">
        <f>IF(Base_de_donnee_articles!B168="","",Base_de_donnee_articles!B168)</f>
        <v/>
      </c>
      <c r="C168" s="8" t="e">
        <f>Etat_des_stocks!G168*Base_de_donnee_articles!D168</f>
        <v>#VALUE!</v>
      </c>
      <c r="D168" s="26" t="e">
        <f>Etat_des_stocks!F168*Base_de_donnee_articles!D168</f>
        <v>#DIV/0!</v>
      </c>
      <c r="E168" s="4" t="str">
        <f>IF(Base_de_donnee_articles!E168="","",Base_de_donnee_articles!E168)</f>
        <v/>
      </c>
      <c r="G168" s="4"/>
      <c r="H168" s="4"/>
      <c r="I168" s="4"/>
      <c r="J168" s="4"/>
    </row>
    <row r="169" spans="2:10" x14ac:dyDescent="0.35">
      <c r="B169" s="4" t="str">
        <f>IF(Base_de_donnee_articles!B169="","",Base_de_donnee_articles!B169)</f>
        <v/>
      </c>
      <c r="C169" s="8" t="e">
        <f>Etat_des_stocks!G169*Base_de_donnee_articles!D169</f>
        <v>#VALUE!</v>
      </c>
      <c r="D169" s="26" t="e">
        <f>Etat_des_stocks!F169*Base_de_donnee_articles!D169</f>
        <v>#DIV/0!</v>
      </c>
      <c r="E169" s="4" t="str">
        <f>IF(Base_de_donnee_articles!E169="","",Base_de_donnee_articles!E169)</f>
        <v/>
      </c>
      <c r="G169" s="4"/>
      <c r="H169" s="4"/>
      <c r="I169" s="4"/>
      <c r="J169" s="4"/>
    </row>
    <row r="170" spans="2:10" x14ac:dyDescent="0.35">
      <c r="B170" s="4" t="str">
        <f>IF(Base_de_donnee_articles!B170="","",Base_de_donnee_articles!B170)</f>
        <v/>
      </c>
      <c r="C170" s="8" t="e">
        <f>Etat_des_stocks!G170*Base_de_donnee_articles!D170</f>
        <v>#VALUE!</v>
      </c>
      <c r="D170" s="26" t="e">
        <f>Etat_des_stocks!F170*Base_de_donnee_articles!D170</f>
        <v>#DIV/0!</v>
      </c>
      <c r="E170" s="4" t="str">
        <f>IF(Base_de_donnee_articles!E170="","",Base_de_donnee_articles!E170)</f>
        <v/>
      </c>
      <c r="G170" s="4"/>
      <c r="H170" s="4"/>
      <c r="I170" s="4"/>
      <c r="J170" s="4"/>
    </row>
    <row r="171" spans="2:10" x14ac:dyDescent="0.35">
      <c r="B171" s="4" t="str">
        <f>IF(Base_de_donnee_articles!B171="","",Base_de_donnee_articles!B171)</f>
        <v/>
      </c>
      <c r="C171" s="8" t="e">
        <f>Etat_des_stocks!G171*Base_de_donnee_articles!D171</f>
        <v>#VALUE!</v>
      </c>
      <c r="D171" s="26" t="e">
        <f>Etat_des_stocks!F171*Base_de_donnee_articles!D171</f>
        <v>#DIV/0!</v>
      </c>
      <c r="E171" s="4" t="str">
        <f>IF(Base_de_donnee_articles!E171="","",Base_de_donnee_articles!E171)</f>
        <v/>
      </c>
      <c r="G171" s="4"/>
      <c r="H171" s="4"/>
      <c r="I171" s="4"/>
      <c r="J171" s="4"/>
    </row>
    <row r="172" spans="2:10" x14ac:dyDescent="0.35">
      <c r="B172" s="4" t="str">
        <f>IF(Base_de_donnee_articles!B172="","",Base_de_donnee_articles!B172)</f>
        <v/>
      </c>
      <c r="C172" s="8" t="e">
        <f>Etat_des_stocks!G172*Base_de_donnee_articles!D172</f>
        <v>#VALUE!</v>
      </c>
      <c r="D172" s="26" t="e">
        <f>Etat_des_stocks!F172*Base_de_donnee_articles!D172</f>
        <v>#DIV/0!</v>
      </c>
      <c r="E172" s="4" t="str">
        <f>IF(Base_de_donnee_articles!E172="","",Base_de_donnee_articles!E172)</f>
        <v/>
      </c>
      <c r="G172" s="4"/>
      <c r="H172" s="4"/>
      <c r="I172" s="4"/>
      <c r="J172" s="4"/>
    </row>
    <row r="173" spans="2:10" x14ac:dyDescent="0.35">
      <c r="B173" s="4" t="str">
        <f>IF(Base_de_donnee_articles!B173="","",Base_de_donnee_articles!B173)</f>
        <v/>
      </c>
      <c r="C173" s="8" t="e">
        <f>Etat_des_stocks!G173*Base_de_donnee_articles!D173</f>
        <v>#VALUE!</v>
      </c>
      <c r="D173" s="26" t="e">
        <f>Etat_des_stocks!F173*Base_de_donnee_articles!D173</f>
        <v>#DIV/0!</v>
      </c>
      <c r="E173" s="4" t="str">
        <f>IF(Base_de_donnee_articles!E173="","",Base_de_donnee_articles!E173)</f>
        <v/>
      </c>
      <c r="G173" s="4"/>
      <c r="H173" s="4"/>
      <c r="I173" s="4"/>
      <c r="J173" s="4"/>
    </row>
    <row r="174" spans="2:10" x14ac:dyDescent="0.35">
      <c r="B174" s="4" t="str">
        <f>IF(Base_de_donnee_articles!B174="","",Base_de_donnee_articles!B174)</f>
        <v/>
      </c>
      <c r="C174" s="8" t="e">
        <f>Etat_des_stocks!G174*Base_de_donnee_articles!D174</f>
        <v>#VALUE!</v>
      </c>
      <c r="D174" s="26" t="e">
        <f>Etat_des_stocks!F174*Base_de_donnee_articles!D174</f>
        <v>#DIV/0!</v>
      </c>
      <c r="E174" s="4" t="str">
        <f>IF(Base_de_donnee_articles!E174="","",Base_de_donnee_articles!E174)</f>
        <v/>
      </c>
      <c r="G174" s="4"/>
      <c r="H174" s="4"/>
      <c r="I174" s="4"/>
      <c r="J174" s="4"/>
    </row>
    <row r="175" spans="2:10" x14ac:dyDescent="0.35">
      <c r="B175" s="4" t="str">
        <f>IF(Base_de_donnee_articles!B175="","",Base_de_donnee_articles!B175)</f>
        <v/>
      </c>
      <c r="C175" s="8" t="e">
        <f>Etat_des_stocks!G175*Base_de_donnee_articles!D175</f>
        <v>#VALUE!</v>
      </c>
      <c r="D175" s="26" t="e">
        <f>Etat_des_stocks!F175*Base_de_donnee_articles!D175</f>
        <v>#DIV/0!</v>
      </c>
      <c r="E175" s="4" t="str">
        <f>IF(Base_de_donnee_articles!E175="","",Base_de_donnee_articles!E175)</f>
        <v/>
      </c>
      <c r="G175" s="4"/>
      <c r="H175" s="4"/>
      <c r="I175" s="4"/>
      <c r="J175" s="4"/>
    </row>
    <row r="176" spans="2:10" x14ac:dyDescent="0.35">
      <c r="B176" s="4" t="str">
        <f>IF(Base_de_donnee_articles!B176="","",Base_de_donnee_articles!B176)</f>
        <v/>
      </c>
      <c r="C176" s="8" t="e">
        <f>Etat_des_stocks!G176*Base_de_donnee_articles!D176</f>
        <v>#VALUE!</v>
      </c>
      <c r="D176" s="26" t="e">
        <f>Etat_des_stocks!F176*Base_de_donnee_articles!D176</f>
        <v>#DIV/0!</v>
      </c>
      <c r="E176" s="4" t="str">
        <f>IF(Base_de_donnee_articles!E176="","",Base_de_donnee_articles!E176)</f>
        <v/>
      </c>
      <c r="G176" s="4"/>
      <c r="H176" s="4"/>
      <c r="I176" s="4"/>
      <c r="J176" s="4"/>
    </row>
    <row r="177" spans="2:10" x14ac:dyDescent="0.35">
      <c r="B177" s="4" t="str">
        <f>IF(Base_de_donnee_articles!B177="","",Base_de_donnee_articles!B177)</f>
        <v/>
      </c>
      <c r="C177" s="8" t="e">
        <f>Etat_des_stocks!G177*Base_de_donnee_articles!D177</f>
        <v>#VALUE!</v>
      </c>
      <c r="D177" s="26" t="e">
        <f>Etat_des_stocks!F177*Base_de_donnee_articles!D177</f>
        <v>#DIV/0!</v>
      </c>
      <c r="E177" s="4" t="str">
        <f>IF(Base_de_donnee_articles!E177="","",Base_de_donnee_articles!E177)</f>
        <v/>
      </c>
      <c r="G177" s="4"/>
      <c r="H177" s="4"/>
      <c r="I177" s="4"/>
      <c r="J177" s="4"/>
    </row>
    <row r="178" spans="2:10" x14ac:dyDescent="0.35">
      <c r="B178" s="4" t="str">
        <f>IF(Base_de_donnee_articles!B178="","",Base_de_donnee_articles!B178)</f>
        <v/>
      </c>
      <c r="C178" s="8" t="e">
        <f>Etat_des_stocks!G178*Base_de_donnee_articles!D178</f>
        <v>#VALUE!</v>
      </c>
      <c r="D178" s="26" t="e">
        <f>Etat_des_stocks!F178*Base_de_donnee_articles!D178</f>
        <v>#DIV/0!</v>
      </c>
      <c r="E178" s="4" t="str">
        <f>IF(Base_de_donnee_articles!E178="","",Base_de_donnee_articles!E178)</f>
        <v/>
      </c>
      <c r="G178" s="4"/>
      <c r="H178" s="4"/>
      <c r="I178" s="4"/>
      <c r="J178" s="4"/>
    </row>
    <row r="179" spans="2:10" x14ac:dyDescent="0.35">
      <c r="B179" s="4" t="str">
        <f>IF(Base_de_donnee_articles!B179="","",Base_de_donnee_articles!B179)</f>
        <v/>
      </c>
      <c r="C179" s="8" t="e">
        <f>Etat_des_stocks!G179*Base_de_donnee_articles!D179</f>
        <v>#VALUE!</v>
      </c>
      <c r="D179" s="26" t="e">
        <f>Etat_des_stocks!F179*Base_de_donnee_articles!D179</f>
        <v>#DIV/0!</v>
      </c>
      <c r="E179" s="4" t="str">
        <f>IF(Base_de_donnee_articles!E179="","",Base_de_donnee_articles!E179)</f>
        <v/>
      </c>
    </row>
    <row r="180" spans="2:10" x14ac:dyDescent="0.35">
      <c r="B180" s="4" t="str">
        <f>IF(Base_de_donnee_articles!B180="","",Base_de_donnee_articles!B180)</f>
        <v/>
      </c>
      <c r="C180" s="8" t="e">
        <f>Etat_des_stocks!G180*Base_de_donnee_articles!D180</f>
        <v>#VALUE!</v>
      </c>
      <c r="D180" s="26" t="e">
        <f>Etat_des_stocks!F180*Base_de_donnee_articles!D180</f>
        <v>#DIV/0!</v>
      </c>
      <c r="E180" s="4" t="str">
        <f>IF(Base_de_donnee_articles!E180="","",Base_de_donnee_articles!E180)</f>
        <v/>
      </c>
    </row>
    <row r="181" spans="2:10" x14ac:dyDescent="0.35">
      <c r="B181" s="4" t="str">
        <f>IF(Base_de_donnee_articles!B181="","",Base_de_donnee_articles!B181)</f>
        <v/>
      </c>
      <c r="C181" s="8" t="e">
        <f>Etat_des_stocks!G181*Base_de_donnee_articles!D181</f>
        <v>#VALUE!</v>
      </c>
      <c r="D181" s="26" t="e">
        <f>Etat_des_stocks!F181*Base_de_donnee_articles!D181</f>
        <v>#DIV/0!</v>
      </c>
      <c r="E181" s="4" t="str">
        <f>IF(Base_de_donnee_articles!E181="","",Base_de_donnee_articles!E181)</f>
        <v/>
      </c>
    </row>
    <row r="182" spans="2:10" x14ac:dyDescent="0.35">
      <c r="B182" s="4" t="str">
        <f>IF(Base_de_donnee_articles!B182="","",Base_de_donnee_articles!B182)</f>
        <v/>
      </c>
      <c r="C182" s="8" t="e">
        <f>Etat_des_stocks!G182*Base_de_donnee_articles!D182</f>
        <v>#VALUE!</v>
      </c>
      <c r="D182" s="26" t="e">
        <f>Etat_des_stocks!F182*Base_de_donnee_articles!D182</f>
        <v>#DIV/0!</v>
      </c>
      <c r="E182" s="4" t="str">
        <f>IF(Base_de_donnee_articles!E182="","",Base_de_donnee_articles!E182)</f>
        <v/>
      </c>
    </row>
    <row r="183" spans="2:10" x14ac:dyDescent="0.35">
      <c r="B183" s="4" t="str">
        <f>IF(Base_de_donnee_articles!B183="","",Base_de_donnee_articles!B183)</f>
        <v/>
      </c>
      <c r="C183" s="8" t="e">
        <f>Etat_des_stocks!G183*Base_de_donnee_articles!D183</f>
        <v>#VALUE!</v>
      </c>
      <c r="D183" s="26" t="e">
        <f>Etat_des_stocks!F183*Base_de_donnee_articles!D183</f>
        <v>#DIV/0!</v>
      </c>
      <c r="E183" s="4" t="str">
        <f>IF(Base_de_donnee_articles!E183="","",Base_de_donnee_articles!E183)</f>
        <v/>
      </c>
    </row>
    <row r="184" spans="2:10" x14ac:dyDescent="0.35">
      <c r="B184" s="4" t="str">
        <f>IF(Base_de_donnee_articles!B184="","",Base_de_donnee_articles!B184)</f>
        <v/>
      </c>
      <c r="C184" s="8" t="e">
        <f>Etat_des_stocks!G184*Base_de_donnee_articles!D184</f>
        <v>#VALUE!</v>
      </c>
      <c r="D184" s="26" t="e">
        <f>Etat_des_stocks!F184*Base_de_donnee_articles!D184</f>
        <v>#DIV/0!</v>
      </c>
      <c r="E184" s="4" t="str">
        <f>IF(Base_de_donnee_articles!E184="","",Base_de_donnee_articles!E184)</f>
        <v/>
      </c>
    </row>
    <row r="185" spans="2:10" x14ac:dyDescent="0.35">
      <c r="B185" s="4" t="str">
        <f>IF(Base_de_donnee_articles!B185="","",Base_de_donnee_articles!B185)</f>
        <v/>
      </c>
      <c r="C185" s="8" t="e">
        <f>Etat_des_stocks!G185*Base_de_donnee_articles!D185</f>
        <v>#VALUE!</v>
      </c>
      <c r="D185" s="26" t="e">
        <f>Etat_des_stocks!F185*Base_de_donnee_articles!D185</f>
        <v>#DIV/0!</v>
      </c>
      <c r="E185" s="4" t="str">
        <f>IF(Base_de_donnee_articles!E185="","",Base_de_donnee_articles!E185)</f>
        <v/>
      </c>
    </row>
    <row r="186" spans="2:10" x14ac:dyDescent="0.35">
      <c r="B186" s="4" t="str">
        <f>IF(Base_de_donnee_articles!B186="","",Base_de_donnee_articles!B186)</f>
        <v/>
      </c>
      <c r="C186" s="8" t="e">
        <f>Etat_des_stocks!G186*Base_de_donnee_articles!D186</f>
        <v>#VALUE!</v>
      </c>
      <c r="D186" s="26" t="e">
        <f>Etat_des_stocks!F186*Base_de_donnee_articles!D186</f>
        <v>#DIV/0!</v>
      </c>
      <c r="E186" s="4" t="str">
        <f>IF(Base_de_donnee_articles!E186="","",Base_de_donnee_articles!E186)</f>
        <v/>
      </c>
    </row>
    <row r="187" spans="2:10" x14ac:dyDescent="0.35">
      <c r="B187" s="4" t="str">
        <f>IF(Base_de_donnee_articles!B187="","",Base_de_donnee_articles!B187)</f>
        <v/>
      </c>
      <c r="C187" s="8" t="e">
        <f>Etat_des_stocks!G187*Base_de_donnee_articles!D187</f>
        <v>#VALUE!</v>
      </c>
      <c r="D187" s="26" t="e">
        <f>Etat_des_stocks!F187*Base_de_donnee_articles!D187</f>
        <v>#DIV/0!</v>
      </c>
      <c r="E187" s="4" t="str">
        <f>IF(Base_de_donnee_articles!E187="","",Base_de_donnee_articles!E187)</f>
        <v/>
      </c>
    </row>
    <row r="188" spans="2:10" x14ac:dyDescent="0.35">
      <c r="B188" s="4" t="str">
        <f>IF(Base_de_donnee_articles!B188="","",Base_de_donnee_articles!B188)</f>
        <v/>
      </c>
      <c r="C188" s="8" t="e">
        <f>Etat_des_stocks!G188*Base_de_donnee_articles!D188</f>
        <v>#VALUE!</v>
      </c>
      <c r="D188" s="26" t="e">
        <f>Etat_des_stocks!F188*Base_de_donnee_articles!D188</f>
        <v>#DIV/0!</v>
      </c>
      <c r="E188" s="4" t="str">
        <f>IF(Base_de_donnee_articles!E188="","",Base_de_donnee_articles!E188)</f>
        <v/>
      </c>
    </row>
    <row r="189" spans="2:10" x14ac:dyDescent="0.35">
      <c r="B189" s="4" t="str">
        <f>IF(Base_de_donnee_articles!B189="","",Base_de_donnee_articles!B189)</f>
        <v/>
      </c>
      <c r="C189" s="8" t="e">
        <f>Etat_des_stocks!G189*Base_de_donnee_articles!D189</f>
        <v>#VALUE!</v>
      </c>
      <c r="D189" s="26" t="e">
        <f>Etat_des_stocks!F189*Base_de_donnee_articles!D189</f>
        <v>#DIV/0!</v>
      </c>
      <c r="E189" s="4" t="str">
        <f>IF(Base_de_donnee_articles!E189="","",Base_de_donnee_articles!E189)</f>
        <v/>
      </c>
    </row>
    <row r="190" spans="2:10" x14ac:dyDescent="0.35">
      <c r="B190" s="4" t="str">
        <f>IF(Base_de_donnee_articles!B190="","",Base_de_donnee_articles!B190)</f>
        <v/>
      </c>
      <c r="C190" s="8" t="e">
        <f>Etat_des_stocks!G190*Base_de_donnee_articles!D190</f>
        <v>#VALUE!</v>
      </c>
      <c r="D190" s="26" t="e">
        <f>Etat_des_stocks!F190*Base_de_donnee_articles!D190</f>
        <v>#DIV/0!</v>
      </c>
      <c r="E190" s="4" t="str">
        <f>IF(Base_de_donnee_articles!E190="","",Base_de_donnee_articles!E190)</f>
        <v/>
      </c>
    </row>
    <row r="191" spans="2:10" x14ac:dyDescent="0.35">
      <c r="B191" s="4" t="str">
        <f>IF(Base_de_donnee_articles!B191="","",Base_de_donnee_articles!B191)</f>
        <v/>
      </c>
      <c r="C191" s="8" t="e">
        <f>Etat_des_stocks!G191*Base_de_donnee_articles!D191</f>
        <v>#VALUE!</v>
      </c>
      <c r="D191" s="26" t="e">
        <f>Etat_des_stocks!F191*Base_de_donnee_articles!D191</f>
        <v>#DIV/0!</v>
      </c>
      <c r="E191" s="4" t="str">
        <f>IF(Base_de_donnee_articles!E191="","",Base_de_donnee_articles!E191)</f>
        <v/>
      </c>
    </row>
    <row r="192" spans="2:10" x14ac:dyDescent="0.35">
      <c r="B192" s="4" t="str">
        <f>IF(Base_de_donnee_articles!B192="","",Base_de_donnee_articles!B192)</f>
        <v/>
      </c>
      <c r="C192" s="8" t="e">
        <f>Etat_des_stocks!G192*Base_de_donnee_articles!D192</f>
        <v>#VALUE!</v>
      </c>
      <c r="D192" s="26" t="e">
        <f>Etat_des_stocks!F192*Base_de_donnee_articles!D192</f>
        <v>#DIV/0!</v>
      </c>
      <c r="E192" s="4" t="str">
        <f>IF(Base_de_donnee_articles!E192="","",Base_de_donnee_articles!E192)</f>
        <v/>
      </c>
    </row>
    <row r="193" spans="2:5" x14ac:dyDescent="0.35">
      <c r="B193" s="4" t="str">
        <f>IF(Base_de_donnee_articles!B193="","",Base_de_donnee_articles!B193)</f>
        <v/>
      </c>
      <c r="C193" s="8" t="e">
        <f>Etat_des_stocks!G193*Base_de_donnee_articles!D193</f>
        <v>#VALUE!</v>
      </c>
      <c r="D193" s="26" t="e">
        <f>Etat_des_stocks!F193*Base_de_donnee_articles!D193</f>
        <v>#DIV/0!</v>
      </c>
      <c r="E193" s="4" t="str">
        <f>IF(Base_de_donnee_articles!E193="","",Base_de_donnee_articles!E193)</f>
        <v/>
      </c>
    </row>
    <row r="194" spans="2:5" x14ac:dyDescent="0.35">
      <c r="B194" s="4" t="str">
        <f>IF(Base_de_donnee_articles!B194="","",Base_de_donnee_articles!B194)</f>
        <v/>
      </c>
      <c r="C194" s="8" t="e">
        <f>Etat_des_stocks!G194*Base_de_donnee_articles!D194</f>
        <v>#VALUE!</v>
      </c>
      <c r="D194" s="26" t="e">
        <f>Etat_des_stocks!F194*Base_de_donnee_articles!D194</f>
        <v>#DIV/0!</v>
      </c>
      <c r="E194" s="4" t="str">
        <f>IF(Base_de_donnee_articles!E194="","",Base_de_donnee_articles!E194)</f>
        <v/>
      </c>
    </row>
    <row r="195" spans="2:5" x14ac:dyDescent="0.35">
      <c r="B195" s="4" t="str">
        <f>IF(Base_de_donnee_articles!B195="","",Base_de_donnee_articles!B195)</f>
        <v/>
      </c>
      <c r="C195" s="8" t="e">
        <f>Etat_des_stocks!G195*Base_de_donnee_articles!D195</f>
        <v>#VALUE!</v>
      </c>
      <c r="D195" s="26" t="e">
        <f>Etat_des_stocks!F195*Base_de_donnee_articles!D195</f>
        <v>#DIV/0!</v>
      </c>
      <c r="E195" s="4" t="str">
        <f>IF(Base_de_donnee_articles!E195="","",Base_de_donnee_articles!E195)</f>
        <v/>
      </c>
    </row>
    <row r="196" spans="2:5" x14ac:dyDescent="0.35">
      <c r="B196" s="4" t="str">
        <f>IF(Base_de_donnee_articles!B196="","",Base_de_donnee_articles!B196)</f>
        <v/>
      </c>
      <c r="C196" s="8" t="e">
        <f>Etat_des_stocks!G196*Base_de_donnee_articles!D196</f>
        <v>#VALUE!</v>
      </c>
      <c r="D196" s="26" t="e">
        <f>Etat_des_stocks!F196*Base_de_donnee_articles!D196</f>
        <v>#DIV/0!</v>
      </c>
      <c r="E196" s="4" t="str">
        <f>IF(Base_de_donnee_articles!E196="","",Base_de_donnee_articles!E196)</f>
        <v/>
      </c>
    </row>
    <row r="197" spans="2:5" x14ac:dyDescent="0.35">
      <c r="B197" s="4" t="str">
        <f>IF(Base_de_donnee_articles!B197="","",Base_de_donnee_articles!B197)</f>
        <v/>
      </c>
      <c r="C197" s="8" t="e">
        <f>Etat_des_stocks!G197*Base_de_donnee_articles!D197</f>
        <v>#VALUE!</v>
      </c>
      <c r="D197" s="26" t="e">
        <f>Etat_des_stocks!F197*Base_de_donnee_articles!D197</f>
        <v>#DIV/0!</v>
      </c>
      <c r="E197" s="4" t="str">
        <f>IF(Base_de_donnee_articles!E197="","",Base_de_donnee_articles!E197)</f>
        <v/>
      </c>
    </row>
    <row r="198" spans="2:5" x14ac:dyDescent="0.35">
      <c r="B198" s="4" t="str">
        <f>IF(Base_de_donnee_articles!B198="","",Base_de_donnee_articles!B198)</f>
        <v/>
      </c>
      <c r="C198" s="8" t="e">
        <f>Etat_des_stocks!G198*Base_de_donnee_articles!D198</f>
        <v>#VALUE!</v>
      </c>
      <c r="D198" s="26" t="e">
        <f>Etat_des_stocks!F198*Base_de_donnee_articles!D198</f>
        <v>#DIV/0!</v>
      </c>
      <c r="E198" s="4" t="str">
        <f>IF(Base_de_donnee_articles!E198="","",Base_de_donnee_articles!E198)</f>
        <v/>
      </c>
    </row>
    <row r="199" spans="2:5" x14ac:dyDescent="0.35">
      <c r="B199" s="4" t="str">
        <f>IF(Base_de_donnee_articles!B199="","",Base_de_donnee_articles!B199)</f>
        <v/>
      </c>
      <c r="C199" s="8" t="e">
        <f>Etat_des_stocks!G199*Base_de_donnee_articles!D199</f>
        <v>#VALUE!</v>
      </c>
      <c r="D199" s="26" t="e">
        <f>Etat_des_stocks!F199*Base_de_donnee_articles!D199</f>
        <v>#DIV/0!</v>
      </c>
      <c r="E199" s="4" t="str">
        <f>IF(Base_de_donnee_articles!E199="","",Base_de_donnee_articles!E199)</f>
        <v/>
      </c>
    </row>
    <row r="200" spans="2:5" x14ac:dyDescent="0.35">
      <c r="B200" s="4" t="str">
        <f>IF(Base_de_donnee_articles!B200="","",Base_de_donnee_articles!B200)</f>
        <v/>
      </c>
      <c r="C200" s="8" t="e">
        <f>Etat_des_stocks!G200*Base_de_donnee_articles!D200</f>
        <v>#VALUE!</v>
      </c>
      <c r="D200" s="26" t="e">
        <f>Etat_des_stocks!F200*Base_de_donnee_articles!D200</f>
        <v>#DIV/0!</v>
      </c>
      <c r="E200" s="4" t="str">
        <f>IF(Base_de_donnee_articles!E200="","",Base_de_donnee_articles!E200)</f>
        <v/>
      </c>
    </row>
    <row r="201" spans="2:5" x14ac:dyDescent="0.35">
      <c r="B201" s="4" t="str">
        <f>IF(Base_de_donnee_articles!B201="","",Base_de_donnee_articles!B201)</f>
        <v/>
      </c>
      <c r="C201" s="8" t="e">
        <f>Etat_des_stocks!G201*Base_de_donnee_articles!D201</f>
        <v>#VALUE!</v>
      </c>
      <c r="D201" s="26" t="e">
        <f>Etat_des_stocks!F201*Base_de_donnee_articles!D201</f>
        <v>#DIV/0!</v>
      </c>
      <c r="E201" s="4" t="str">
        <f>IF(Base_de_donnee_articles!E201="","",Base_de_donnee_articles!E201)</f>
        <v/>
      </c>
    </row>
    <row r="202" spans="2:5" x14ac:dyDescent="0.35">
      <c r="B202" s="4" t="str">
        <f>IF(Base_de_donnee_articles!B202="","",Base_de_donnee_articles!B202)</f>
        <v/>
      </c>
      <c r="C202" s="8" t="e">
        <f>Etat_des_stocks!G202*Base_de_donnee_articles!D202</f>
        <v>#VALUE!</v>
      </c>
      <c r="D202" s="26" t="e">
        <f>Etat_des_stocks!F202*Base_de_donnee_articles!D202</f>
        <v>#DIV/0!</v>
      </c>
      <c r="E202" s="4" t="str">
        <f>IF(Base_de_donnee_articles!E202="","",Base_de_donnee_articles!E202)</f>
        <v/>
      </c>
    </row>
    <row r="203" spans="2:5" x14ac:dyDescent="0.35">
      <c r="B203" s="4" t="str">
        <f>IF(Base_de_donnee_articles!B203="","",Base_de_donnee_articles!B203)</f>
        <v/>
      </c>
      <c r="C203" s="8" t="e">
        <f>Etat_des_stocks!G203*Base_de_donnee_articles!D203</f>
        <v>#VALUE!</v>
      </c>
      <c r="D203" s="26" t="e">
        <f>Etat_des_stocks!F203*Base_de_donnee_articles!D203</f>
        <v>#DIV/0!</v>
      </c>
      <c r="E203" s="4" t="str">
        <f>IF(Base_de_donnee_articles!E203="","",Base_de_donnee_articles!E203)</f>
        <v/>
      </c>
    </row>
    <row r="204" spans="2:5" x14ac:dyDescent="0.35">
      <c r="B204" s="4" t="str">
        <f>IF(Base_de_donnee_articles!B204="","",Base_de_donnee_articles!B204)</f>
        <v/>
      </c>
      <c r="C204" s="8" t="e">
        <f>Etat_des_stocks!G204*Base_de_donnee_articles!D204</f>
        <v>#VALUE!</v>
      </c>
      <c r="D204" s="26" t="e">
        <f>Etat_des_stocks!F204*Base_de_donnee_articles!D204</f>
        <v>#DIV/0!</v>
      </c>
      <c r="E204" s="4" t="str">
        <f>IF(Base_de_donnee_articles!E204="","",Base_de_donnee_articles!E204)</f>
        <v/>
      </c>
    </row>
    <row r="205" spans="2:5" x14ac:dyDescent="0.35">
      <c r="B205" s="4" t="str">
        <f>IF(Base_de_donnee_articles!B205="","",Base_de_donnee_articles!B205)</f>
        <v/>
      </c>
      <c r="C205" s="8" t="e">
        <f>Etat_des_stocks!G205*Base_de_donnee_articles!D205</f>
        <v>#VALUE!</v>
      </c>
      <c r="D205" s="26" t="e">
        <f>Etat_des_stocks!F205*Base_de_donnee_articles!D205</f>
        <v>#DIV/0!</v>
      </c>
      <c r="E205" s="4" t="str">
        <f>IF(Base_de_donnee_articles!E205="","",Base_de_donnee_articles!E205)</f>
        <v/>
      </c>
    </row>
    <row r="206" spans="2:5" x14ac:dyDescent="0.35">
      <c r="B206" s="4" t="str">
        <f>IF(Base_de_donnee_articles!B206="","",Base_de_donnee_articles!B206)</f>
        <v/>
      </c>
      <c r="C206" s="8" t="e">
        <f>Etat_des_stocks!G206*Base_de_donnee_articles!D206</f>
        <v>#VALUE!</v>
      </c>
      <c r="D206" s="26" t="e">
        <f>Etat_des_stocks!F206*Base_de_donnee_articles!D206</f>
        <v>#DIV/0!</v>
      </c>
      <c r="E206" s="4" t="str">
        <f>IF(Base_de_donnee_articles!E206="","",Base_de_donnee_articles!E206)</f>
        <v/>
      </c>
    </row>
    <row r="207" spans="2:5" x14ac:dyDescent="0.35">
      <c r="B207" s="4" t="str">
        <f>IF(Base_de_donnee_articles!B207="","",Base_de_donnee_articles!B207)</f>
        <v/>
      </c>
      <c r="C207" s="8" t="e">
        <f>Etat_des_stocks!G207*Base_de_donnee_articles!D207</f>
        <v>#VALUE!</v>
      </c>
      <c r="D207" s="26" t="e">
        <f>Etat_des_stocks!F207*Base_de_donnee_articles!D207</f>
        <v>#DIV/0!</v>
      </c>
      <c r="E207" s="4" t="str">
        <f>IF(Base_de_donnee_articles!E207="","",Base_de_donnee_articles!E207)</f>
        <v/>
      </c>
    </row>
    <row r="208" spans="2:5" x14ac:dyDescent="0.35">
      <c r="B208" s="4" t="str">
        <f>IF(Base_de_donnee_articles!B208="","",Base_de_donnee_articles!B208)</f>
        <v/>
      </c>
      <c r="C208" s="8" t="e">
        <f>Etat_des_stocks!G208*Base_de_donnee_articles!D208</f>
        <v>#VALUE!</v>
      </c>
      <c r="D208" s="26" t="e">
        <f>Etat_des_stocks!F208*Base_de_donnee_articles!D208</f>
        <v>#DIV/0!</v>
      </c>
      <c r="E208" s="4" t="str">
        <f>IF(Base_de_donnee_articles!E208="","",Base_de_donnee_articles!E208)</f>
        <v/>
      </c>
    </row>
    <row r="209" spans="2:5" x14ac:dyDescent="0.35">
      <c r="B209" s="4" t="str">
        <f>IF(Base_de_donnee_articles!B209="","",Base_de_donnee_articles!B209)</f>
        <v/>
      </c>
      <c r="C209" s="8" t="e">
        <f>Etat_des_stocks!G209*Base_de_donnee_articles!D209</f>
        <v>#VALUE!</v>
      </c>
      <c r="D209" s="26" t="e">
        <f>Etat_des_stocks!F209*Base_de_donnee_articles!D209</f>
        <v>#DIV/0!</v>
      </c>
      <c r="E209" s="4" t="str">
        <f>IF(Base_de_donnee_articles!E209="","",Base_de_donnee_articles!E209)</f>
        <v/>
      </c>
    </row>
    <row r="210" spans="2:5" x14ac:dyDescent="0.35">
      <c r="B210" s="4" t="str">
        <f>IF(Base_de_donnee_articles!B210="","",Base_de_donnee_articles!B210)</f>
        <v/>
      </c>
      <c r="C210" s="8" t="e">
        <f>Etat_des_stocks!G210*Base_de_donnee_articles!D210</f>
        <v>#VALUE!</v>
      </c>
      <c r="D210" s="26" t="e">
        <f>Etat_des_stocks!F210*Base_de_donnee_articles!D210</f>
        <v>#DIV/0!</v>
      </c>
      <c r="E210" s="4" t="str">
        <f>IF(Base_de_donnee_articles!E210="","",Base_de_donnee_articles!E210)</f>
        <v/>
      </c>
    </row>
    <row r="211" spans="2:5" x14ac:dyDescent="0.35">
      <c r="B211" s="4" t="str">
        <f>IF(Base_de_donnee_articles!B211="","",Base_de_donnee_articles!B211)</f>
        <v/>
      </c>
      <c r="C211" s="8" t="e">
        <f>Etat_des_stocks!G211*Base_de_donnee_articles!D211</f>
        <v>#VALUE!</v>
      </c>
      <c r="D211" s="26" t="e">
        <f>Etat_des_stocks!F211*Base_de_donnee_articles!D211</f>
        <v>#DIV/0!</v>
      </c>
      <c r="E211" s="4" t="str">
        <f>IF(Base_de_donnee_articles!E211="","",Base_de_donnee_articles!E211)</f>
        <v/>
      </c>
    </row>
    <row r="212" spans="2:5" x14ac:dyDescent="0.35">
      <c r="B212" s="4" t="str">
        <f>IF(Base_de_donnee_articles!B212="","",Base_de_donnee_articles!B212)</f>
        <v/>
      </c>
      <c r="C212" s="8" t="e">
        <f>Etat_des_stocks!G212*Base_de_donnee_articles!D212</f>
        <v>#VALUE!</v>
      </c>
      <c r="D212" s="26" t="e">
        <f>Etat_des_stocks!F212*Base_de_donnee_articles!D212</f>
        <v>#DIV/0!</v>
      </c>
      <c r="E212" s="4" t="str">
        <f>IF(Base_de_donnee_articles!E212="","",Base_de_donnee_articles!E212)</f>
        <v/>
      </c>
    </row>
    <row r="213" spans="2:5" x14ac:dyDescent="0.35">
      <c r="B213" s="4" t="str">
        <f>IF(Base_de_donnee_articles!B213="","",Base_de_donnee_articles!B213)</f>
        <v/>
      </c>
      <c r="C213" s="8" t="e">
        <f>Etat_des_stocks!G213*Base_de_donnee_articles!D213</f>
        <v>#VALUE!</v>
      </c>
      <c r="D213" s="26" t="e">
        <f>Etat_des_stocks!F213*Base_de_donnee_articles!D213</f>
        <v>#DIV/0!</v>
      </c>
      <c r="E213" s="4" t="str">
        <f>IF(Base_de_donnee_articles!E213="","",Base_de_donnee_articles!E213)</f>
        <v/>
      </c>
    </row>
    <row r="214" spans="2:5" x14ac:dyDescent="0.35">
      <c r="B214" s="4" t="str">
        <f>IF(Base_de_donnee_articles!B214="","",Base_de_donnee_articles!B214)</f>
        <v/>
      </c>
      <c r="C214" s="8" t="e">
        <f>Etat_des_stocks!G214*Base_de_donnee_articles!D214</f>
        <v>#VALUE!</v>
      </c>
      <c r="D214" s="26" t="e">
        <f>Etat_des_stocks!F214*Base_de_donnee_articles!D214</f>
        <v>#DIV/0!</v>
      </c>
      <c r="E214" s="4" t="str">
        <f>IF(Base_de_donnee_articles!E214="","",Base_de_donnee_articles!E214)</f>
        <v/>
      </c>
    </row>
    <row r="215" spans="2:5" x14ac:dyDescent="0.35">
      <c r="B215" s="4" t="str">
        <f>IF(Base_de_donnee_articles!B215="","",Base_de_donnee_articles!B215)</f>
        <v/>
      </c>
      <c r="C215" s="8" t="e">
        <f>Etat_des_stocks!G215*Base_de_donnee_articles!D215</f>
        <v>#VALUE!</v>
      </c>
      <c r="D215" s="26" t="e">
        <f>Etat_des_stocks!F215*Base_de_donnee_articles!D215</f>
        <v>#DIV/0!</v>
      </c>
      <c r="E215" s="4" t="str">
        <f>IF(Base_de_donnee_articles!E215="","",Base_de_donnee_articles!E215)</f>
        <v/>
      </c>
    </row>
    <row r="216" spans="2:5" x14ac:dyDescent="0.35">
      <c r="B216" s="4" t="str">
        <f>IF(Base_de_donnee_articles!B216="","",Base_de_donnee_articles!B216)</f>
        <v/>
      </c>
      <c r="C216" s="8" t="e">
        <f>Etat_des_stocks!G216*Base_de_donnee_articles!D216</f>
        <v>#VALUE!</v>
      </c>
      <c r="D216" s="26" t="e">
        <f>Etat_des_stocks!F216*Base_de_donnee_articles!D216</f>
        <v>#DIV/0!</v>
      </c>
      <c r="E216" s="4" t="str">
        <f>IF(Base_de_donnee_articles!E216="","",Base_de_donnee_articles!E216)</f>
        <v/>
      </c>
    </row>
    <row r="217" spans="2:5" x14ac:dyDescent="0.35">
      <c r="B217" s="4" t="str">
        <f>IF(Base_de_donnee_articles!B217="","",Base_de_donnee_articles!B217)</f>
        <v/>
      </c>
      <c r="C217" s="8" t="e">
        <f>Etat_des_stocks!G217*Base_de_donnee_articles!D217</f>
        <v>#VALUE!</v>
      </c>
      <c r="D217" s="26" t="e">
        <f>Etat_des_stocks!F217*Base_de_donnee_articles!D217</f>
        <v>#DIV/0!</v>
      </c>
      <c r="E217" s="4" t="str">
        <f>IF(Base_de_donnee_articles!E217="","",Base_de_donnee_articles!E217)</f>
        <v/>
      </c>
    </row>
    <row r="218" spans="2:5" x14ac:dyDescent="0.35">
      <c r="B218" s="4" t="str">
        <f>IF(Base_de_donnee_articles!B218="","",Base_de_donnee_articles!B218)</f>
        <v/>
      </c>
      <c r="C218" s="8" t="e">
        <f>Etat_des_stocks!G218*Base_de_donnee_articles!D218</f>
        <v>#VALUE!</v>
      </c>
      <c r="D218" s="26" t="e">
        <f>Etat_des_stocks!F218*Base_de_donnee_articles!D218</f>
        <v>#DIV/0!</v>
      </c>
      <c r="E218" s="4" t="str">
        <f>IF(Base_de_donnee_articles!E218="","",Base_de_donnee_articles!E218)</f>
        <v/>
      </c>
    </row>
    <row r="219" spans="2:5" x14ac:dyDescent="0.35">
      <c r="B219" s="4" t="str">
        <f>IF(Base_de_donnee_articles!B219="","",Base_de_donnee_articles!B219)</f>
        <v/>
      </c>
      <c r="C219" s="8" t="e">
        <f>Etat_des_stocks!G219*Base_de_donnee_articles!D219</f>
        <v>#VALUE!</v>
      </c>
      <c r="D219" s="26" t="e">
        <f>Etat_des_stocks!F219*Base_de_donnee_articles!D219</f>
        <v>#DIV/0!</v>
      </c>
      <c r="E219" s="4" t="str">
        <f>IF(Base_de_donnee_articles!E219="","",Base_de_donnee_articles!E219)</f>
        <v/>
      </c>
    </row>
    <row r="220" spans="2:5" x14ac:dyDescent="0.35">
      <c r="B220" s="4" t="str">
        <f>IF(Base_de_donnee_articles!B220="","",Base_de_donnee_articles!B220)</f>
        <v/>
      </c>
      <c r="C220" s="8" t="e">
        <f>Etat_des_stocks!G220*Base_de_donnee_articles!D220</f>
        <v>#VALUE!</v>
      </c>
      <c r="D220" s="26" t="e">
        <f>Etat_des_stocks!F220*Base_de_donnee_articles!D220</f>
        <v>#DIV/0!</v>
      </c>
      <c r="E220" s="4" t="str">
        <f>IF(Base_de_donnee_articles!E220="","",Base_de_donnee_articles!E220)</f>
        <v/>
      </c>
    </row>
    <row r="221" spans="2:5" x14ac:dyDescent="0.35">
      <c r="B221" s="4" t="str">
        <f>IF(Base_de_donnee_articles!B221="","",Base_de_donnee_articles!B221)</f>
        <v/>
      </c>
      <c r="C221" s="8" t="e">
        <f>Etat_des_stocks!G221*Base_de_donnee_articles!D221</f>
        <v>#VALUE!</v>
      </c>
      <c r="D221" s="26" t="e">
        <f>Etat_des_stocks!F221*Base_de_donnee_articles!D221</f>
        <v>#DIV/0!</v>
      </c>
      <c r="E221" s="4" t="str">
        <f>IF(Base_de_donnee_articles!E221="","",Base_de_donnee_articles!E221)</f>
        <v/>
      </c>
    </row>
    <row r="222" spans="2:5" x14ac:dyDescent="0.35">
      <c r="B222" s="4" t="str">
        <f>IF(Base_de_donnee_articles!B222="","",Base_de_donnee_articles!B222)</f>
        <v/>
      </c>
      <c r="C222" s="8" t="e">
        <f>Etat_des_stocks!G222*Base_de_donnee_articles!D222</f>
        <v>#VALUE!</v>
      </c>
      <c r="D222" s="26" t="e">
        <f>Etat_des_stocks!F222*Base_de_donnee_articles!D222</f>
        <v>#DIV/0!</v>
      </c>
      <c r="E222" s="4" t="str">
        <f>IF(Base_de_donnee_articles!E222="","",Base_de_donnee_articles!E222)</f>
        <v/>
      </c>
    </row>
    <row r="223" spans="2:5" x14ac:dyDescent="0.35">
      <c r="B223" s="4" t="str">
        <f>IF(Base_de_donnee_articles!B223="","",Base_de_donnee_articles!B223)</f>
        <v/>
      </c>
      <c r="C223" s="8" t="e">
        <f>Etat_des_stocks!G223*Base_de_donnee_articles!D223</f>
        <v>#VALUE!</v>
      </c>
      <c r="D223" s="26" t="e">
        <f>Etat_des_stocks!F223*Base_de_donnee_articles!D223</f>
        <v>#DIV/0!</v>
      </c>
      <c r="E223" s="4" t="str">
        <f>IF(Base_de_donnee_articles!E223="","",Base_de_donnee_articles!E223)</f>
        <v/>
      </c>
    </row>
    <row r="224" spans="2:5" x14ac:dyDescent="0.35">
      <c r="B224" s="4" t="str">
        <f>IF(Base_de_donnee_articles!B224="","",Base_de_donnee_articles!B224)</f>
        <v/>
      </c>
      <c r="C224" s="8" t="e">
        <f>Etat_des_stocks!G224*Base_de_donnee_articles!D224</f>
        <v>#VALUE!</v>
      </c>
      <c r="D224" s="26" t="e">
        <f>Etat_des_stocks!F224*Base_de_donnee_articles!D224</f>
        <v>#DIV/0!</v>
      </c>
      <c r="E224" s="4" t="str">
        <f>IF(Base_de_donnee_articles!E224="","",Base_de_donnee_articles!E224)</f>
        <v/>
      </c>
    </row>
    <row r="225" spans="2:5" x14ac:dyDescent="0.35">
      <c r="B225" s="4" t="str">
        <f>IF(Base_de_donnee_articles!B225="","",Base_de_donnee_articles!B225)</f>
        <v/>
      </c>
      <c r="C225" s="8" t="e">
        <f>Etat_des_stocks!G225*Base_de_donnee_articles!D225</f>
        <v>#VALUE!</v>
      </c>
      <c r="D225" s="26" t="e">
        <f>Etat_des_stocks!F225*Base_de_donnee_articles!D225</f>
        <v>#DIV/0!</v>
      </c>
      <c r="E225" s="4" t="str">
        <f>IF(Base_de_donnee_articles!E225="","",Base_de_donnee_articles!E225)</f>
        <v/>
      </c>
    </row>
    <row r="226" spans="2:5" x14ac:dyDescent="0.35">
      <c r="B226" s="4" t="str">
        <f>IF(Base_de_donnee_articles!B226="","",Base_de_donnee_articles!B226)</f>
        <v/>
      </c>
      <c r="C226" s="8" t="e">
        <f>Etat_des_stocks!G226*Base_de_donnee_articles!D226</f>
        <v>#VALUE!</v>
      </c>
      <c r="D226" s="26" t="e">
        <f>Etat_des_stocks!F226*Base_de_donnee_articles!D226</f>
        <v>#DIV/0!</v>
      </c>
      <c r="E226" s="4" t="str">
        <f>IF(Base_de_donnee_articles!E226="","",Base_de_donnee_articles!E226)</f>
        <v/>
      </c>
    </row>
    <row r="227" spans="2:5" x14ac:dyDescent="0.35">
      <c r="B227" s="4" t="str">
        <f>IF(Base_de_donnee_articles!B227="","",Base_de_donnee_articles!B227)</f>
        <v/>
      </c>
      <c r="C227" s="8" t="e">
        <f>Etat_des_stocks!G227*Base_de_donnee_articles!D227</f>
        <v>#VALUE!</v>
      </c>
      <c r="D227" s="26" t="e">
        <f>Etat_des_stocks!F227*Base_de_donnee_articles!D227</f>
        <v>#DIV/0!</v>
      </c>
      <c r="E227" s="4" t="str">
        <f>IF(Base_de_donnee_articles!E227="","",Base_de_donnee_articles!E227)</f>
        <v/>
      </c>
    </row>
    <row r="228" spans="2:5" x14ac:dyDescent="0.35">
      <c r="B228" s="4" t="str">
        <f>IF(Base_de_donnee_articles!B228="","",Base_de_donnee_articles!B228)</f>
        <v/>
      </c>
      <c r="C228" s="8" t="e">
        <f>Etat_des_stocks!G228*Base_de_donnee_articles!D228</f>
        <v>#VALUE!</v>
      </c>
      <c r="D228" s="26" t="e">
        <f>Etat_des_stocks!F228*Base_de_donnee_articles!D228</f>
        <v>#DIV/0!</v>
      </c>
      <c r="E228" s="4" t="str">
        <f>IF(Base_de_donnee_articles!E228="","",Base_de_donnee_articles!E228)</f>
        <v/>
      </c>
    </row>
    <row r="229" spans="2:5" x14ac:dyDescent="0.35">
      <c r="B229" s="4" t="str">
        <f>IF(Base_de_donnee_articles!B229="","",Base_de_donnee_articles!B229)</f>
        <v/>
      </c>
      <c r="C229" s="8" t="e">
        <f>Etat_des_stocks!G229*Base_de_donnee_articles!D229</f>
        <v>#VALUE!</v>
      </c>
      <c r="D229" s="26" t="e">
        <f>Etat_des_stocks!F229*Base_de_donnee_articles!D229</f>
        <v>#DIV/0!</v>
      </c>
      <c r="E229" s="4" t="str">
        <f>IF(Base_de_donnee_articles!E229="","",Base_de_donnee_articles!E229)</f>
        <v/>
      </c>
    </row>
    <row r="230" spans="2:5" x14ac:dyDescent="0.35">
      <c r="B230" s="4" t="str">
        <f>IF(Base_de_donnee_articles!B230="","",Base_de_donnee_articles!B230)</f>
        <v/>
      </c>
      <c r="C230" s="8" t="e">
        <f>Etat_des_stocks!G230*Base_de_donnee_articles!D230</f>
        <v>#VALUE!</v>
      </c>
      <c r="D230" s="26" t="e">
        <f>Etat_des_stocks!F230*Base_de_donnee_articles!D230</f>
        <v>#DIV/0!</v>
      </c>
      <c r="E230" s="4" t="str">
        <f>IF(Base_de_donnee_articles!E230="","",Base_de_donnee_articles!E230)</f>
        <v/>
      </c>
    </row>
    <row r="231" spans="2:5" x14ac:dyDescent="0.35">
      <c r="B231" s="4" t="str">
        <f>IF(Base_de_donnee_articles!B231="","",Base_de_donnee_articles!B231)</f>
        <v/>
      </c>
      <c r="C231" s="8" t="e">
        <f>Etat_des_stocks!G231*Base_de_donnee_articles!D231</f>
        <v>#VALUE!</v>
      </c>
      <c r="D231" s="26" t="e">
        <f>Etat_des_stocks!F231*Base_de_donnee_articles!D231</f>
        <v>#DIV/0!</v>
      </c>
      <c r="E231" s="4" t="str">
        <f>IF(Base_de_donnee_articles!E231="","",Base_de_donnee_articles!E231)</f>
        <v/>
      </c>
    </row>
    <row r="232" spans="2:5" x14ac:dyDescent="0.35">
      <c r="B232" s="4" t="str">
        <f>IF(Base_de_donnee_articles!B232="","",Base_de_donnee_articles!B232)</f>
        <v/>
      </c>
      <c r="C232" s="8" t="e">
        <f>Etat_des_stocks!G232*Base_de_donnee_articles!D232</f>
        <v>#VALUE!</v>
      </c>
      <c r="D232" s="26" t="e">
        <f>Etat_des_stocks!F232*Base_de_donnee_articles!D232</f>
        <v>#DIV/0!</v>
      </c>
      <c r="E232" s="4" t="str">
        <f>IF(Base_de_donnee_articles!E232="","",Base_de_donnee_articles!E232)</f>
        <v/>
      </c>
    </row>
    <row r="233" spans="2:5" x14ac:dyDescent="0.35">
      <c r="B233" s="4" t="str">
        <f>IF(Base_de_donnee_articles!B233="","",Base_de_donnee_articles!B233)</f>
        <v/>
      </c>
      <c r="C233" s="8" t="e">
        <f>Etat_des_stocks!G233*Base_de_donnee_articles!D233</f>
        <v>#VALUE!</v>
      </c>
      <c r="D233" s="26" t="e">
        <f>Etat_des_stocks!F233*Base_de_donnee_articles!D233</f>
        <v>#DIV/0!</v>
      </c>
      <c r="E233" s="4" t="str">
        <f>IF(Base_de_donnee_articles!E233="","",Base_de_donnee_articles!E233)</f>
        <v/>
      </c>
    </row>
    <row r="234" spans="2:5" x14ac:dyDescent="0.35">
      <c r="B234" s="4" t="str">
        <f>IF(Base_de_donnee_articles!B234="","",Base_de_donnee_articles!B234)</f>
        <v/>
      </c>
      <c r="C234" s="8" t="e">
        <f>Etat_des_stocks!G234*Base_de_donnee_articles!D234</f>
        <v>#VALUE!</v>
      </c>
      <c r="D234" s="26" t="e">
        <f>Etat_des_stocks!F234*Base_de_donnee_articles!D234</f>
        <v>#DIV/0!</v>
      </c>
      <c r="E234" s="4" t="str">
        <f>IF(Base_de_donnee_articles!E234="","",Base_de_donnee_articles!E234)</f>
        <v/>
      </c>
    </row>
    <row r="235" spans="2:5" x14ac:dyDescent="0.35">
      <c r="B235" s="4" t="str">
        <f>IF(Base_de_donnee_articles!B235="","",Base_de_donnee_articles!B235)</f>
        <v/>
      </c>
      <c r="C235" s="8" t="e">
        <f>Etat_des_stocks!G235*Base_de_donnee_articles!D235</f>
        <v>#VALUE!</v>
      </c>
      <c r="D235" s="26" t="e">
        <f>Etat_des_stocks!F235*Base_de_donnee_articles!D235</f>
        <v>#DIV/0!</v>
      </c>
      <c r="E235" s="4" t="str">
        <f>IF(Base_de_donnee_articles!E235="","",Base_de_donnee_articles!E235)</f>
        <v/>
      </c>
    </row>
    <row r="236" spans="2:5" x14ac:dyDescent="0.35">
      <c r="B236" s="4" t="str">
        <f>IF(Base_de_donnee_articles!B236="","",Base_de_donnee_articles!B236)</f>
        <v/>
      </c>
      <c r="C236" s="8" t="e">
        <f>Etat_des_stocks!G236*Base_de_donnee_articles!D236</f>
        <v>#VALUE!</v>
      </c>
      <c r="D236" s="26" t="e">
        <f>Etat_des_stocks!F236*Base_de_donnee_articles!D236</f>
        <v>#DIV/0!</v>
      </c>
      <c r="E236" s="4" t="str">
        <f>IF(Base_de_donnee_articles!E236="","",Base_de_donnee_articles!E236)</f>
        <v/>
      </c>
    </row>
    <row r="237" spans="2:5" x14ac:dyDescent="0.35">
      <c r="B237" s="4" t="str">
        <f>IF(Base_de_donnee_articles!B237="","",Base_de_donnee_articles!B237)</f>
        <v/>
      </c>
      <c r="C237" s="8" t="e">
        <f>Etat_des_stocks!G237*Base_de_donnee_articles!D237</f>
        <v>#VALUE!</v>
      </c>
      <c r="D237" s="26" t="e">
        <f>Etat_des_stocks!F237*Base_de_donnee_articles!D237</f>
        <v>#DIV/0!</v>
      </c>
      <c r="E237" s="4" t="str">
        <f>IF(Base_de_donnee_articles!E237="","",Base_de_donnee_articles!E237)</f>
        <v/>
      </c>
    </row>
    <row r="238" spans="2:5" x14ac:dyDescent="0.35">
      <c r="B238" s="4" t="str">
        <f>IF(Base_de_donnee_articles!B238="","",Base_de_donnee_articles!B238)</f>
        <v/>
      </c>
      <c r="C238" s="8" t="e">
        <f>Etat_des_stocks!G238*Base_de_donnee_articles!D238</f>
        <v>#VALUE!</v>
      </c>
      <c r="D238" s="26" t="e">
        <f>Etat_des_stocks!F238*Base_de_donnee_articles!D238</f>
        <v>#DIV/0!</v>
      </c>
      <c r="E238" s="4" t="str">
        <f>IF(Base_de_donnee_articles!E238="","",Base_de_donnee_articles!E238)</f>
        <v/>
      </c>
    </row>
    <row r="239" spans="2:5" x14ac:dyDescent="0.35">
      <c r="B239" s="4" t="str">
        <f>IF(Base_de_donnee_articles!B239="","",Base_de_donnee_articles!B239)</f>
        <v/>
      </c>
      <c r="C239" s="8" t="e">
        <f>Etat_des_stocks!G239*Base_de_donnee_articles!D239</f>
        <v>#VALUE!</v>
      </c>
      <c r="D239" s="26" t="e">
        <f>Etat_des_stocks!F239*Base_de_donnee_articles!D239</f>
        <v>#DIV/0!</v>
      </c>
      <c r="E239" s="4" t="str">
        <f>IF(Base_de_donnee_articles!E239="","",Base_de_donnee_articles!E239)</f>
        <v/>
      </c>
    </row>
    <row r="240" spans="2:5" x14ac:dyDescent="0.35">
      <c r="B240" s="4" t="str">
        <f>IF(Base_de_donnee_articles!B240="","",Base_de_donnee_articles!B240)</f>
        <v/>
      </c>
      <c r="C240" s="8" t="e">
        <f>Etat_des_stocks!G240*Base_de_donnee_articles!D240</f>
        <v>#VALUE!</v>
      </c>
      <c r="D240" s="26" t="e">
        <f>Etat_des_stocks!F240*Base_de_donnee_articles!D240</f>
        <v>#DIV/0!</v>
      </c>
      <c r="E240" s="4" t="str">
        <f>IF(Base_de_donnee_articles!E240="","",Base_de_donnee_articles!E240)</f>
        <v/>
      </c>
    </row>
    <row r="241" spans="2:5" x14ac:dyDescent="0.35">
      <c r="B241" s="4" t="str">
        <f>IF(Base_de_donnee_articles!B241="","",Base_de_donnee_articles!B241)</f>
        <v/>
      </c>
      <c r="C241" s="8" t="e">
        <f>Etat_des_stocks!G241*Base_de_donnee_articles!D241</f>
        <v>#VALUE!</v>
      </c>
      <c r="D241" s="26" t="e">
        <f>Etat_des_stocks!F241*Base_de_donnee_articles!D241</f>
        <v>#DIV/0!</v>
      </c>
      <c r="E241" s="4" t="str">
        <f>IF(Base_de_donnee_articles!E241="","",Base_de_donnee_articles!E241)</f>
        <v/>
      </c>
    </row>
    <row r="242" spans="2:5" x14ac:dyDescent="0.35">
      <c r="B242" s="4" t="str">
        <f>IF(Base_de_donnee_articles!B242="","",Base_de_donnee_articles!B242)</f>
        <v/>
      </c>
      <c r="C242" s="8" t="e">
        <f>Etat_des_stocks!G242*Base_de_donnee_articles!D242</f>
        <v>#VALUE!</v>
      </c>
      <c r="D242" s="26" t="e">
        <f>Etat_des_stocks!F242*Base_de_donnee_articles!D242</f>
        <v>#DIV/0!</v>
      </c>
      <c r="E242" s="4" t="str">
        <f>IF(Base_de_donnee_articles!E242="","",Base_de_donnee_articles!E242)</f>
        <v/>
      </c>
    </row>
    <row r="243" spans="2:5" x14ac:dyDescent="0.35">
      <c r="B243" s="4" t="str">
        <f>IF(Base_de_donnee_articles!B243="","",Base_de_donnee_articles!B243)</f>
        <v/>
      </c>
      <c r="C243" s="8" t="e">
        <f>Etat_des_stocks!G243*Base_de_donnee_articles!D243</f>
        <v>#VALUE!</v>
      </c>
      <c r="D243" s="26" t="e">
        <f>Etat_des_stocks!F243*Base_de_donnee_articles!D243</f>
        <v>#DIV/0!</v>
      </c>
      <c r="E243" s="4" t="str">
        <f>IF(Base_de_donnee_articles!E243="","",Base_de_donnee_articles!E243)</f>
        <v/>
      </c>
    </row>
    <row r="244" spans="2:5" x14ac:dyDescent="0.35">
      <c r="B244" s="4" t="str">
        <f>IF(Base_de_donnee_articles!B244="","",Base_de_donnee_articles!B244)</f>
        <v/>
      </c>
      <c r="C244" s="8" t="e">
        <f>Etat_des_stocks!G244*Base_de_donnee_articles!D244</f>
        <v>#VALUE!</v>
      </c>
      <c r="D244" s="26" t="e">
        <f>Etat_des_stocks!F244*Base_de_donnee_articles!D244</f>
        <v>#DIV/0!</v>
      </c>
      <c r="E244" s="4" t="str">
        <f>IF(Base_de_donnee_articles!E244="","",Base_de_donnee_articles!E244)</f>
        <v/>
      </c>
    </row>
    <row r="245" spans="2:5" x14ac:dyDescent="0.35">
      <c r="B245" s="4" t="str">
        <f>IF(Base_de_donnee_articles!B245="","",Base_de_donnee_articles!B245)</f>
        <v/>
      </c>
      <c r="C245" s="8" t="e">
        <f>Etat_des_stocks!G245*Base_de_donnee_articles!D245</f>
        <v>#VALUE!</v>
      </c>
      <c r="D245" s="26" t="e">
        <f>Etat_des_stocks!F245*Base_de_donnee_articles!D245</f>
        <v>#DIV/0!</v>
      </c>
      <c r="E245" s="4" t="str">
        <f>IF(Base_de_donnee_articles!E245="","",Base_de_donnee_articles!E245)</f>
        <v/>
      </c>
    </row>
    <row r="246" spans="2:5" x14ac:dyDescent="0.35">
      <c r="B246" s="4" t="str">
        <f>IF(Base_de_donnee_articles!B246="","",Base_de_donnee_articles!B246)</f>
        <v/>
      </c>
      <c r="C246" s="8" t="e">
        <f>Etat_des_stocks!G246*Base_de_donnee_articles!D246</f>
        <v>#VALUE!</v>
      </c>
      <c r="D246" s="26" t="e">
        <f>Etat_des_stocks!F246*Base_de_donnee_articles!D246</f>
        <v>#DIV/0!</v>
      </c>
      <c r="E246" s="4" t="str">
        <f>IF(Base_de_donnee_articles!E246="","",Base_de_donnee_articles!E246)</f>
        <v/>
      </c>
    </row>
    <row r="247" spans="2:5" x14ac:dyDescent="0.35">
      <c r="B247" s="4" t="str">
        <f>IF(Base_de_donnee_articles!B247="","",Base_de_donnee_articles!B247)</f>
        <v/>
      </c>
      <c r="C247" s="8" t="e">
        <f>Etat_des_stocks!G247*Base_de_donnee_articles!D247</f>
        <v>#VALUE!</v>
      </c>
      <c r="D247" s="26" t="e">
        <f>Etat_des_stocks!F247*Base_de_donnee_articles!D247</f>
        <v>#DIV/0!</v>
      </c>
      <c r="E247" s="4" t="str">
        <f>IF(Base_de_donnee_articles!E247="","",Base_de_donnee_articles!E247)</f>
        <v/>
      </c>
    </row>
    <row r="248" spans="2:5" x14ac:dyDescent="0.35">
      <c r="B248" s="4" t="str">
        <f>IF(Base_de_donnee_articles!B248="","",Base_de_donnee_articles!B248)</f>
        <v/>
      </c>
      <c r="C248" s="8" t="e">
        <f>Etat_des_stocks!G248*Base_de_donnee_articles!D248</f>
        <v>#VALUE!</v>
      </c>
      <c r="D248" s="26" t="e">
        <f>Etat_des_stocks!F248*Base_de_donnee_articles!D248</f>
        <v>#DIV/0!</v>
      </c>
      <c r="E248" s="4" t="str">
        <f>IF(Base_de_donnee_articles!E248="","",Base_de_donnee_articles!E248)</f>
        <v/>
      </c>
    </row>
    <row r="249" spans="2:5" x14ac:dyDescent="0.35">
      <c r="B249" s="4" t="str">
        <f>IF(Base_de_donnee_articles!B249="","",Base_de_donnee_articles!B249)</f>
        <v/>
      </c>
      <c r="C249" s="8" t="e">
        <f>Etat_des_stocks!G249*Base_de_donnee_articles!D249</f>
        <v>#VALUE!</v>
      </c>
      <c r="D249" s="26" t="e">
        <f>Etat_des_stocks!F249*Base_de_donnee_articles!D249</f>
        <v>#DIV/0!</v>
      </c>
      <c r="E249" s="4" t="str">
        <f>IF(Base_de_donnee_articles!E249="","",Base_de_donnee_articles!E249)</f>
        <v/>
      </c>
    </row>
    <row r="250" spans="2:5" x14ac:dyDescent="0.35">
      <c r="B250" s="4" t="str">
        <f>IF(Base_de_donnee_articles!B250="","",Base_de_donnee_articles!B250)</f>
        <v/>
      </c>
      <c r="C250" s="8" t="e">
        <f>Etat_des_stocks!G250*Base_de_donnee_articles!D250</f>
        <v>#VALUE!</v>
      </c>
      <c r="D250" s="26" t="e">
        <f>Etat_des_stocks!F250*Base_de_donnee_articles!D250</f>
        <v>#DIV/0!</v>
      </c>
      <c r="E250" s="4" t="str">
        <f>IF(Base_de_donnee_articles!E250="","",Base_de_donnee_articles!E250)</f>
        <v/>
      </c>
    </row>
    <row r="251" spans="2:5" x14ac:dyDescent="0.35">
      <c r="B251" s="4" t="str">
        <f>IF(Base_de_donnee_articles!B251="","",Base_de_donnee_articles!B251)</f>
        <v/>
      </c>
      <c r="C251" s="8" t="e">
        <f>Etat_des_stocks!G251*Base_de_donnee_articles!D251</f>
        <v>#VALUE!</v>
      </c>
      <c r="D251" s="26" t="e">
        <f>Etat_des_stocks!F251*Base_de_donnee_articles!D251</f>
        <v>#DIV/0!</v>
      </c>
      <c r="E251" s="4" t="str">
        <f>IF(Base_de_donnee_articles!E251="","",Base_de_donnee_articles!E251)</f>
        <v/>
      </c>
    </row>
    <row r="252" spans="2:5" x14ac:dyDescent="0.35">
      <c r="B252" s="4" t="str">
        <f>IF(Base_de_donnee_articles!B252="","",Base_de_donnee_articles!B252)</f>
        <v/>
      </c>
      <c r="C252" s="8" t="e">
        <f>Etat_des_stocks!G252*Base_de_donnee_articles!D252</f>
        <v>#VALUE!</v>
      </c>
      <c r="D252" s="26" t="e">
        <f>Etat_des_stocks!F252*Base_de_donnee_articles!D252</f>
        <v>#DIV/0!</v>
      </c>
      <c r="E252" s="4" t="str">
        <f>IF(Base_de_donnee_articles!E252="","",Base_de_donnee_articles!E252)</f>
        <v/>
      </c>
    </row>
    <row r="253" spans="2:5" x14ac:dyDescent="0.35">
      <c r="B253" s="4" t="str">
        <f>IF(Base_de_donnee_articles!B253="","",Base_de_donnee_articles!B253)</f>
        <v/>
      </c>
      <c r="C253" s="8" t="e">
        <f>Etat_des_stocks!G253*Base_de_donnee_articles!D253</f>
        <v>#VALUE!</v>
      </c>
      <c r="D253" s="26" t="e">
        <f>Etat_des_stocks!F253*Base_de_donnee_articles!D253</f>
        <v>#DIV/0!</v>
      </c>
      <c r="E253" s="4" t="str">
        <f>IF(Base_de_donnee_articles!E253="","",Base_de_donnee_articles!E253)</f>
        <v/>
      </c>
    </row>
    <row r="254" spans="2:5" x14ac:dyDescent="0.35">
      <c r="B254" s="4" t="str">
        <f>IF(Base_de_donnee_articles!B254="","",Base_de_donnee_articles!B254)</f>
        <v/>
      </c>
      <c r="C254" s="8" t="e">
        <f>Etat_des_stocks!G254*Base_de_donnee_articles!D254</f>
        <v>#VALUE!</v>
      </c>
      <c r="D254" s="26" t="e">
        <f>Etat_des_stocks!F254*Base_de_donnee_articles!D254</f>
        <v>#DIV/0!</v>
      </c>
      <c r="E254" s="4" t="str">
        <f>IF(Base_de_donnee_articles!E254="","",Base_de_donnee_articles!E254)</f>
        <v/>
      </c>
    </row>
    <row r="255" spans="2:5" x14ac:dyDescent="0.35">
      <c r="B255" s="4" t="str">
        <f>IF(Base_de_donnee_articles!B255="","",Base_de_donnee_articles!B255)</f>
        <v/>
      </c>
      <c r="C255" s="8" t="e">
        <f>Etat_des_stocks!G255*Base_de_donnee_articles!D255</f>
        <v>#VALUE!</v>
      </c>
      <c r="D255" s="26" t="e">
        <f>Etat_des_stocks!F255*Base_de_donnee_articles!D255</f>
        <v>#DIV/0!</v>
      </c>
      <c r="E255" s="4" t="str">
        <f>IF(Base_de_donnee_articles!E255="","",Base_de_donnee_articles!E255)</f>
        <v/>
      </c>
    </row>
    <row r="256" spans="2:5" x14ac:dyDescent="0.35">
      <c r="B256" s="4" t="str">
        <f>IF(Base_de_donnee_articles!B256="","",Base_de_donnee_articles!B256)</f>
        <v/>
      </c>
      <c r="C256" s="8" t="e">
        <f>Etat_des_stocks!G256*Base_de_donnee_articles!D256</f>
        <v>#VALUE!</v>
      </c>
      <c r="D256" s="26" t="e">
        <f>Etat_des_stocks!F256*Base_de_donnee_articles!D256</f>
        <v>#DIV/0!</v>
      </c>
      <c r="E256" s="4" t="str">
        <f>IF(Base_de_donnee_articles!E256="","",Base_de_donnee_articles!E256)</f>
        <v/>
      </c>
    </row>
    <row r="257" spans="2:5" x14ac:dyDescent="0.35">
      <c r="B257" s="4" t="str">
        <f>IF(Base_de_donnee_articles!B257="","",Base_de_donnee_articles!B257)</f>
        <v/>
      </c>
      <c r="C257" s="8" t="e">
        <f>Etat_des_stocks!G257*Base_de_donnee_articles!D257</f>
        <v>#VALUE!</v>
      </c>
      <c r="D257" s="26" t="e">
        <f>Etat_des_stocks!F257*Base_de_donnee_articles!D257</f>
        <v>#DIV/0!</v>
      </c>
      <c r="E257" s="4" t="str">
        <f>IF(Base_de_donnee_articles!E257="","",Base_de_donnee_articles!E257)</f>
        <v/>
      </c>
    </row>
    <row r="258" spans="2:5" x14ac:dyDescent="0.35">
      <c r="B258" s="4" t="str">
        <f>IF(Base_de_donnee_articles!B258="","",Base_de_donnee_articles!B258)</f>
        <v/>
      </c>
      <c r="C258" s="8" t="e">
        <f>Etat_des_stocks!G258*Base_de_donnee_articles!D258</f>
        <v>#VALUE!</v>
      </c>
      <c r="D258" s="26" t="e">
        <f>Etat_des_stocks!F258*Base_de_donnee_articles!D258</f>
        <v>#DIV/0!</v>
      </c>
      <c r="E258" s="4" t="str">
        <f>IF(Base_de_donnee_articles!E258="","",Base_de_donnee_articles!E258)</f>
        <v/>
      </c>
    </row>
    <row r="259" spans="2:5" x14ac:dyDescent="0.35">
      <c r="B259" s="4" t="str">
        <f>IF(Base_de_donnee_articles!B259="","",Base_de_donnee_articles!B259)</f>
        <v/>
      </c>
      <c r="C259" s="8" t="e">
        <f>Etat_des_stocks!G259*Base_de_donnee_articles!D259</f>
        <v>#VALUE!</v>
      </c>
      <c r="D259" s="26" t="e">
        <f>Etat_des_stocks!F259*Base_de_donnee_articles!D259</f>
        <v>#DIV/0!</v>
      </c>
      <c r="E259" s="4" t="str">
        <f>IF(Base_de_donnee_articles!E259="","",Base_de_donnee_articles!E259)</f>
        <v/>
      </c>
    </row>
    <row r="260" spans="2:5" x14ac:dyDescent="0.35">
      <c r="B260" s="4" t="str">
        <f>IF(Base_de_donnee_articles!B260="","",Base_de_donnee_articles!B260)</f>
        <v/>
      </c>
      <c r="C260" s="8" t="e">
        <f>Etat_des_stocks!G260*Base_de_donnee_articles!D260</f>
        <v>#VALUE!</v>
      </c>
      <c r="D260" s="26" t="e">
        <f>Etat_des_stocks!F260*Base_de_donnee_articles!D260</f>
        <v>#DIV/0!</v>
      </c>
      <c r="E260" s="4" t="str">
        <f>IF(Base_de_donnee_articles!E260="","",Base_de_donnee_articles!E260)</f>
        <v/>
      </c>
    </row>
    <row r="261" spans="2:5" x14ac:dyDescent="0.35">
      <c r="B261" s="4" t="str">
        <f>IF(Base_de_donnee_articles!B261="","",Base_de_donnee_articles!B261)</f>
        <v/>
      </c>
      <c r="C261" s="8" t="e">
        <f>Etat_des_stocks!G261*Base_de_donnee_articles!D261</f>
        <v>#VALUE!</v>
      </c>
      <c r="D261" s="26" t="e">
        <f>Etat_des_stocks!F261*Base_de_donnee_articles!D261</f>
        <v>#DIV/0!</v>
      </c>
      <c r="E261" s="4" t="str">
        <f>IF(Base_de_donnee_articles!E261="","",Base_de_donnee_articles!E261)</f>
        <v/>
      </c>
    </row>
    <row r="262" spans="2:5" x14ac:dyDescent="0.35">
      <c r="B262" s="4" t="str">
        <f>IF(Base_de_donnee_articles!B262="","",Base_de_donnee_articles!B262)</f>
        <v/>
      </c>
      <c r="C262" s="8" t="e">
        <f>Etat_des_stocks!G262*Base_de_donnee_articles!D262</f>
        <v>#VALUE!</v>
      </c>
      <c r="D262" s="26" t="e">
        <f>Etat_des_stocks!F262*Base_de_donnee_articles!D262</f>
        <v>#DIV/0!</v>
      </c>
      <c r="E262" s="4" t="str">
        <f>IF(Base_de_donnee_articles!E262="","",Base_de_donnee_articles!E262)</f>
        <v/>
      </c>
    </row>
    <row r="263" spans="2:5" x14ac:dyDescent="0.35">
      <c r="B263" s="4" t="str">
        <f>IF(Base_de_donnee_articles!B263="","",Base_de_donnee_articles!B263)</f>
        <v/>
      </c>
      <c r="C263" s="8" t="e">
        <f>Etat_des_stocks!G263*Base_de_donnee_articles!D263</f>
        <v>#VALUE!</v>
      </c>
      <c r="D263" s="26" t="e">
        <f>Etat_des_stocks!F263*Base_de_donnee_articles!D263</f>
        <v>#DIV/0!</v>
      </c>
      <c r="E263" s="4" t="str">
        <f>IF(Base_de_donnee_articles!E263="","",Base_de_donnee_articles!E263)</f>
        <v/>
      </c>
    </row>
    <row r="264" spans="2:5" x14ac:dyDescent="0.35">
      <c r="B264" s="4" t="str">
        <f>IF(Base_de_donnee_articles!B264="","",Base_de_donnee_articles!B264)</f>
        <v/>
      </c>
      <c r="C264" s="8" t="e">
        <f>Etat_des_stocks!G264*Base_de_donnee_articles!D264</f>
        <v>#VALUE!</v>
      </c>
      <c r="D264" s="26" t="e">
        <f>Etat_des_stocks!F264*Base_de_donnee_articles!D264</f>
        <v>#DIV/0!</v>
      </c>
      <c r="E264" s="4" t="str">
        <f>IF(Base_de_donnee_articles!E264="","",Base_de_donnee_articles!E264)</f>
        <v/>
      </c>
    </row>
    <row r="265" spans="2:5" x14ac:dyDescent="0.35">
      <c r="B265" s="4" t="str">
        <f>IF(Base_de_donnee_articles!B265="","",Base_de_donnee_articles!B265)</f>
        <v/>
      </c>
      <c r="C265" s="8" t="e">
        <f>Etat_des_stocks!G265*Base_de_donnee_articles!D265</f>
        <v>#VALUE!</v>
      </c>
      <c r="D265" s="26" t="e">
        <f>Etat_des_stocks!F265*Base_de_donnee_articles!D265</f>
        <v>#DIV/0!</v>
      </c>
      <c r="E265" s="4" t="str">
        <f>IF(Base_de_donnee_articles!E265="","",Base_de_donnee_articles!E265)</f>
        <v/>
      </c>
    </row>
    <row r="266" spans="2:5" x14ac:dyDescent="0.35">
      <c r="B266" s="4" t="str">
        <f>IF(Base_de_donnee_articles!B266="","",Base_de_donnee_articles!B266)</f>
        <v/>
      </c>
      <c r="C266" s="8" t="e">
        <f>Etat_des_stocks!G266*Base_de_donnee_articles!D266</f>
        <v>#VALUE!</v>
      </c>
      <c r="D266" s="26" t="e">
        <f>Etat_des_stocks!F266*Base_de_donnee_articles!D266</f>
        <v>#DIV/0!</v>
      </c>
      <c r="E266" s="4" t="str">
        <f>IF(Base_de_donnee_articles!E266="","",Base_de_donnee_articles!E266)</f>
        <v/>
      </c>
    </row>
    <row r="267" spans="2:5" x14ac:dyDescent="0.35">
      <c r="B267" s="4" t="str">
        <f>IF(Base_de_donnee_articles!B267="","",Base_de_donnee_articles!B267)</f>
        <v/>
      </c>
      <c r="C267" s="8" t="e">
        <f>Etat_des_stocks!G267*Base_de_donnee_articles!D267</f>
        <v>#VALUE!</v>
      </c>
      <c r="D267" s="26" t="e">
        <f>Etat_des_stocks!F267*Base_de_donnee_articles!D267</f>
        <v>#DIV/0!</v>
      </c>
      <c r="E267" s="4" t="str">
        <f>IF(Base_de_donnee_articles!E267="","",Base_de_donnee_articles!E267)</f>
        <v/>
      </c>
    </row>
    <row r="268" spans="2:5" x14ac:dyDescent="0.35">
      <c r="B268" s="4" t="str">
        <f>IF(Base_de_donnee_articles!B268="","",Base_de_donnee_articles!B268)</f>
        <v/>
      </c>
      <c r="C268" s="8" t="e">
        <f>Etat_des_stocks!G268*Base_de_donnee_articles!D268</f>
        <v>#VALUE!</v>
      </c>
      <c r="D268" s="26" t="e">
        <f>Etat_des_stocks!F268*Base_de_donnee_articles!D268</f>
        <v>#DIV/0!</v>
      </c>
      <c r="E268" s="4" t="str">
        <f>IF(Base_de_donnee_articles!E268="","",Base_de_donnee_articles!E268)</f>
        <v/>
      </c>
    </row>
    <row r="269" spans="2:5" x14ac:dyDescent="0.35">
      <c r="B269" s="4" t="str">
        <f>IF(Base_de_donnee_articles!B269="","",Base_de_donnee_articles!B269)</f>
        <v/>
      </c>
      <c r="C269" s="8" t="e">
        <f>Etat_des_stocks!G269*Base_de_donnee_articles!D269</f>
        <v>#VALUE!</v>
      </c>
      <c r="D269" s="26" t="e">
        <f>Etat_des_stocks!F269*Base_de_donnee_articles!D269</f>
        <v>#DIV/0!</v>
      </c>
      <c r="E269" s="4" t="str">
        <f>IF(Base_de_donnee_articles!E269="","",Base_de_donnee_articles!E269)</f>
        <v/>
      </c>
    </row>
    <row r="270" spans="2:5" x14ac:dyDescent="0.35">
      <c r="B270" s="4" t="str">
        <f>IF(Base_de_donnee_articles!B270="","",Base_de_donnee_articles!B270)</f>
        <v/>
      </c>
      <c r="C270" s="8" t="e">
        <f>Etat_des_stocks!G270*Base_de_donnee_articles!D270</f>
        <v>#VALUE!</v>
      </c>
      <c r="D270" s="26" t="e">
        <f>Etat_des_stocks!F270*Base_de_donnee_articles!D270</f>
        <v>#DIV/0!</v>
      </c>
      <c r="E270" s="4" t="str">
        <f>IF(Base_de_donnee_articles!E270="","",Base_de_donnee_articles!E270)</f>
        <v/>
      </c>
    </row>
    <row r="271" spans="2:5" x14ac:dyDescent="0.35">
      <c r="B271" s="4" t="str">
        <f>IF(Base_de_donnee_articles!B271="","",Base_de_donnee_articles!B271)</f>
        <v/>
      </c>
      <c r="C271" s="8" t="e">
        <f>Etat_des_stocks!G271*Base_de_donnee_articles!D271</f>
        <v>#VALUE!</v>
      </c>
      <c r="D271" s="26" t="e">
        <f>Etat_des_stocks!F271*Base_de_donnee_articles!D271</f>
        <v>#DIV/0!</v>
      </c>
      <c r="E271" s="4" t="str">
        <f>IF(Base_de_donnee_articles!E271="","",Base_de_donnee_articles!E271)</f>
        <v/>
      </c>
    </row>
    <row r="272" spans="2:5" x14ac:dyDescent="0.35">
      <c r="B272" s="4" t="str">
        <f>IF(Base_de_donnee_articles!B272="","",Base_de_donnee_articles!B272)</f>
        <v/>
      </c>
      <c r="C272" s="8" t="e">
        <f>Etat_des_stocks!G272*Base_de_donnee_articles!D272</f>
        <v>#VALUE!</v>
      </c>
      <c r="D272" s="26" t="e">
        <f>Etat_des_stocks!F272*Base_de_donnee_articles!D272</f>
        <v>#DIV/0!</v>
      </c>
      <c r="E272" s="4" t="str">
        <f>IF(Base_de_donnee_articles!E272="","",Base_de_donnee_articles!E272)</f>
        <v/>
      </c>
    </row>
    <row r="273" spans="2:5" x14ac:dyDescent="0.35">
      <c r="B273" s="4" t="str">
        <f>IF(Base_de_donnee_articles!B273="","",Base_de_donnee_articles!B273)</f>
        <v/>
      </c>
      <c r="C273" s="8" t="e">
        <f>Etat_des_stocks!G273*Base_de_donnee_articles!D273</f>
        <v>#VALUE!</v>
      </c>
      <c r="D273" s="26" t="e">
        <f>Etat_des_stocks!F273*Base_de_donnee_articles!D273</f>
        <v>#DIV/0!</v>
      </c>
      <c r="E273" s="4" t="str">
        <f>IF(Base_de_donnee_articles!E273="","",Base_de_donnee_articles!E273)</f>
        <v/>
      </c>
    </row>
    <row r="274" spans="2:5" x14ac:dyDescent="0.35">
      <c r="B274" s="4" t="str">
        <f>IF(Base_de_donnee_articles!B274="","",Base_de_donnee_articles!B274)</f>
        <v/>
      </c>
      <c r="C274" s="8" t="e">
        <f>Etat_des_stocks!G274*Base_de_donnee_articles!D274</f>
        <v>#VALUE!</v>
      </c>
      <c r="D274" s="26" t="e">
        <f>Etat_des_stocks!F274*Base_de_donnee_articles!D274</f>
        <v>#DIV/0!</v>
      </c>
      <c r="E274" s="4" t="str">
        <f>IF(Base_de_donnee_articles!E274="","",Base_de_donnee_articles!E274)</f>
        <v/>
      </c>
    </row>
    <row r="275" spans="2:5" x14ac:dyDescent="0.35">
      <c r="B275" s="4" t="str">
        <f>IF(Base_de_donnee_articles!B275="","",Base_de_donnee_articles!B275)</f>
        <v/>
      </c>
      <c r="C275" s="8" t="e">
        <f>Etat_des_stocks!G275*Base_de_donnee_articles!D275</f>
        <v>#VALUE!</v>
      </c>
      <c r="D275" s="26" t="e">
        <f>Etat_des_stocks!F275*Base_de_donnee_articles!D275</f>
        <v>#DIV/0!</v>
      </c>
      <c r="E275" s="4" t="str">
        <f>IF(Base_de_donnee_articles!E275="","",Base_de_donnee_articles!E275)</f>
        <v/>
      </c>
    </row>
    <row r="276" spans="2:5" x14ac:dyDescent="0.35">
      <c r="B276" s="4" t="str">
        <f>IF(Base_de_donnee_articles!B276="","",Base_de_donnee_articles!B276)</f>
        <v/>
      </c>
      <c r="C276" s="8" t="e">
        <f>Etat_des_stocks!G276*Base_de_donnee_articles!D276</f>
        <v>#VALUE!</v>
      </c>
      <c r="D276" s="26" t="e">
        <f>Etat_des_stocks!F276*Base_de_donnee_articles!D276</f>
        <v>#DIV/0!</v>
      </c>
      <c r="E276" s="4" t="str">
        <f>IF(Base_de_donnee_articles!E276="","",Base_de_donnee_articles!E276)</f>
        <v/>
      </c>
    </row>
    <row r="277" spans="2:5" x14ac:dyDescent="0.35">
      <c r="B277" s="4" t="str">
        <f>IF(Base_de_donnee_articles!B277="","",Base_de_donnee_articles!B277)</f>
        <v/>
      </c>
      <c r="C277" s="8" t="e">
        <f>Etat_des_stocks!G277*Base_de_donnee_articles!D277</f>
        <v>#VALUE!</v>
      </c>
      <c r="D277" s="26" t="e">
        <f>Etat_des_stocks!F277*Base_de_donnee_articles!D277</f>
        <v>#DIV/0!</v>
      </c>
      <c r="E277" s="4" t="str">
        <f>IF(Base_de_donnee_articles!E277="","",Base_de_donnee_articles!E277)</f>
        <v/>
      </c>
    </row>
    <row r="278" spans="2:5" x14ac:dyDescent="0.35">
      <c r="B278" s="4" t="str">
        <f>IF(Base_de_donnee_articles!B278="","",Base_de_donnee_articles!B278)</f>
        <v/>
      </c>
      <c r="C278" s="8" t="e">
        <f>Etat_des_stocks!G278*Base_de_donnee_articles!D278</f>
        <v>#VALUE!</v>
      </c>
      <c r="D278" s="26" t="e">
        <f>Etat_des_stocks!F278*Base_de_donnee_articles!D278</f>
        <v>#DIV/0!</v>
      </c>
      <c r="E278" s="4" t="str">
        <f>IF(Base_de_donnee_articles!E278="","",Base_de_donnee_articles!E278)</f>
        <v/>
      </c>
    </row>
    <row r="279" spans="2:5" x14ac:dyDescent="0.35">
      <c r="B279" s="4" t="str">
        <f>IF(Base_de_donnee_articles!B279="","",Base_de_donnee_articles!B279)</f>
        <v/>
      </c>
      <c r="C279" s="8" t="e">
        <f>Etat_des_stocks!G279*Base_de_donnee_articles!D279</f>
        <v>#VALUE!</v>
      </c>
      <c r="D279" s="26" t="e">
        <f>Etat_des_stocks!F279*Base_de_donnee_articles!D279</f>
        <v>#DIV/0!</v>
      </c>
      <c r="E279" s="4" t="str">
        <f>IF(Base_de_donnee_articles!E279="","",Base_de_donnee_articles!E279)</f>
        <v/>
      </c>
    </row>
    <row r="280" spans="2:5" x14ac:dyDescent="0.35">
      <c r="B280" s="4" t="str">
        <f>IF(Base_de_donnee_articles!B280="","",Base_de_donnee_articles!B280)</f>
        <v/>
      </c>
      <c r="C280" s="8" t="e">
        <f>Etat_des_stocks!G280*Base_de_donnee_articles!D280</f>
        <v>#VALUE!</v>
      </c>
      <c r="D280" s="26" t="e">
        <f>Etat_des_stocks!F280*Base_de_donnee_articles!D280</f>
        <v>#DIV/0!</v>
      </c>
      <c r="E280" s="4" t="str">
        <f>IF(Base_de_donnee_articles!E280="","",Base_de_donnee_articles!E280)</f>
        <v/>
      </c>
    </row>
    <row r="281" spans="2:5" x14ac:dyDescent="0.35">
      <c r="B281" s="4" t="str">
        <f>IF(Base_de_donnee_articles!B281="","",Base_de_donnee_articles!B281)</f>
        <v/>
      </c>
      <c r="C281" s="8" t="e">
        <f>Etat_des_stocks!G281*Base_de_donnee_articles!D281</f>
        <v>#VALUE!</v>
      </c>
      <c r="D281" s="26" t="e">
        <f>Etat_des_stocks!F281*Base_de_donnee_articles!D281</f>
        <v>#DIV/0!</v>
      </c>
      <c r="E281" s="4" t="str">
        <f>IF(Base_de_donnee_articles!E281="","",Base_de_donnee_articles!E281)</f>
        <v/>
      </c>
    </row>
    <row r="282" spans="2:5" x14ac:dyDescent="0.35">
      <c r="B282" s="4" t="str">
        <f>IF(Base_de_donnee_articles!B282="","",Base_de_donnee_articles!B282)</f>
        <v/>
      </c>
      <c r="C282" s="8" t="e">
        <f>Etat_des_stocks!G282*Base_de_donnee_articles!D282</f>
        <v>#VALUE!</v>
      </c>
      <c r="D282" s="26" t="e">
        <f>Etat_des_stocks!F282*Base_de_donnee_articles!D282</f>
        <v>#DIV/0!</v>
      </c>
      <c r="E282" s="4" t="str">
        <f>IF(Base_de_donnee_articles!E282="","",Base_de_donnee_articles!E282)</f>
        <v/>
      </c>
    </row>
    <row r="283" spans="2:5" x14ac:dyDescent="0.35">
      <c r="B283" s="4" t="str">
        <f>IF(Base_de_donnee_articles!B283="","",Base_de_donnee_articles!B283)</f>
        <v/>
      </c>
      <c r="C283" s="8" t="e">
        <f>Etat_des_stocks!G283*Base_de_donnee_articles!D283</f>
        <v>#VALUE!</v>
      </c>
      <c r="D283" s="26" t="e">
        <f>Etat_des_stocks!F283*Base_de_donnee_articles!D283</f>
        <v>#DIV/0!</v>
      </c>
      <c r="E283" s="4" t="str">
        <f>IF(Base_de_donnee_articles!E283="","",Base_de_donnee_articles!E283)</f>
        <v/>
      </c>
    </row>
    <row r="284" spans="2:5" x14ac:dyDescent="0.35">
      <c r="B284" s="4" t="str">
        <f>IF(Base_de_donnee_articles!B284="","",Base_de_donnee_articles!B284)</f>
        <v/>
      </c>
      <c r="C284" s="8" t="e">
        <f>Etat_des_stocks!G284*Base_de_donnee_articles!D284</f>
        <v>#VALUE!</v>
      </c>
      <c r="D284" s="26" t="e">
        <f>Etat_des_stocks!F284*Base_de_donnee_articles!D284</f>
        <v>#DIV/0!</v>
      </c>
      <c r="E284" s="4" t="str">
        <f>IF(Base_de_donnee_articles!E284="","",Base_de_donnee_articles!E284)</f>
        <v/>
      </c>
    </row>
    <row r="285" spans="2:5" x14ac:dyDescent="0.35">
      <c r="B285" s="4" t="str">
        <f>IF(Base_de_donnee_articles!B285="","",Base_de_donnee_articles!B285)</f>
        <v/>
      </c>
      <c r="C285" s="8" t="e">
        <f>Etat_des_stocks!G285*Base_de_donnee_articles!D285</f>
        <v>#VALUE!</v>
      </c>
      <c r="D285" s="26" t="e">
        <f>Etat_des_stocks!F285*Base_de_donnee_articles!D285</f>
        <v>#DIV/0!</v>
      </c>
      <c r="E285" s="4" t="str">
        <f>IF(Base_de_donnee_articles!E285="","",Base_de_donnee_articles!E285)</f>
        <v/>
      </c>
    </row>
    <row r="286" spans="2:5" x14ac:dyDescent="0.35">
      <c r="B286" s="4" t="str">
        <f>IF(Base_de_donnee_articles!B286="","",Base_de_donnee_articles!B286)</f>
        <v/>
      </c>
      <c r="C286" s="8" t="e">
        <f>Etat_des_stocks!G286*Base_de_donnee_articles!D286</f>
        <v>#VALUE!</v>
      </c>
      <c r="D286" s="26" t="e">
        <f>Etat_des_stocks!F286*Base_de_donnee_articles!D286</f>
        <v>#DIV/0!</v>
      </c>
      <c r="E286" s="4" t="str">
        <f>IF(Base_de_donnee_articles!E286="","",Base_de_donnee_articles!E286)</f>
        <v/>
      </c>
    </row>
    <row r="287" spans="2:5" x14ac:dyDescent="0.35">
      <c r="B287" s="4" t="str">
        <f>IF(Base_de_donnee_articles!B287="","",Base_de_donnee_articles!B287)</f>
        <v/>
      </c>
      <c r="C287" s="8" t="e">
        <f>Etat_des_stocks!G287*Base_de_donnee_articles!D287</f>
        <v>#VALUE!</v>
      </c>
      <c r="D287" s="26" t="e">
        <f>Etat_des_stocks!F287*Base_de_donnee_articles!D287</f>
        <v>#DIV/0!</v>
      </c>
      <c r="E287" s="4" t="str">
        <f>IF(Base_de_donnee_articles!E287="","",Base_de_donnee_articles!E287)</f>
        <v/>
      </c>
    </row>
    <row r="288" spans="2:5" x14ac:dyDescent="0.35">
      <c r="B288" s="4" t="str">
        <f>IF(Base_de_donnee_articles!B288="","",Base_de_donnee_articles!B288)</f>
        <v/>
      </c>
      <c r="C288" s="8" t="e">
        <f>Etat_des_stocks!G288*Base_de_donnee_articles!D288</f>
        <v>#VALUE!</v>
      </c>
      <c r="D288" s="26" t="e">
        <f>Etat_des_stocks!F288*Base_de_donnee_articles!D288</f>
        <v>#DIV/0!</v>
      </c>
      <c r="E288" s="4" t="str">
        <f>IF(Base_de_donnee_articles!E288="","",Base_de_donnee_articles!E288)</f>
        <v/>
      </c>
    </row>
    <row r="289" spans="2:5" x14ac:dyDescent="0.35">
      <c r="B289" s="4" t="str">
        <f>IF(Base_de_donnee_articles!B289="","",Base_de_donnee_articles!B289)</f>
        <v/>
      </c>
      <c r="C289" s="8" t="e">
        <f>Etat_des_stocks!G289*Base_de_donnee_articles!D289</f>
        <v>#VALUE!</v>
      </c>
      <c r="D289" s="26" t="e">
        <f>Etat_des_stocks!F289*Base_de_donnee_articles!D289</f>
        <v>#DIV/0!</v>
      </c>
      <c r="E289" s="4" t="str">
        <f>IF(Base_de_donnee_articles!E289="","",Base_de_donnee_articles!E289)</f>
        <v/>
      </c>
    </row>
    <row r="290" spans="2:5" x14ac:dyDescent="0.35">
      <c r="B290" s="4" t="str">
        <f>IF(Base_de_donnee_articles!B290="","",Base_de_donnee_articles!B290)</f>
        <v/>
      </c>
      <c r="C290" s="8" t="e">
        <f>Etat_des_stocks!G290*Base_de_donnee_articles!D290</f>
        <v>#VALUE!</v>
      </c>
      <c r="D290" s="26" t="e">
        <f>Etat_des_stocks!F290*Base_de_donnee_articles!D290</f>
        <v>#DIV/0!</v>
      </c>
      <c r="E290" s="4" t="str">
        <f>IF(Base_de_donnee_articles!E290="","",Base_de_donnee_articles!E290)</f>
        <v/>
      </c>
    </row>
    <row r="291" spans="2:5" x14ac:dyDescent="0.35">
      <c r="B291" s="4" t="str">
        <f>IF(Base_de_donnee_articles!B291="","",Base_de_donnee_articles!B291)</f>
        <v/>
      </c>
      <c r="C291" s="8" t="e">
        <f>Etat_des_stocks!G291*Base_de_donnee_articles!D291</f>
        <v>#VALUE!</v>
      </c>
      <c r="D291" s="26" t="e">
        <f>Etat_des_stocks!F291*Base_de_donnee_articles!D291</f>
        <v>#DIV/0!</v>
      </c>
      <c r="E291" s="4" t="str">
        <f>IF(Base_de_donnee_articles!E291="","",Base_de_donnee_articles!E291)</f>
        <v/>
      </c>
    </row>
    <row r="292" spans="2:5" x14ac:dyDescent="0.35">
      <c r="B292" s="4" t="str">
        <f>IF(Base_de_donnee_articles!B292="","",Base_de_donnee_articles!B292)</f>
        <v/>
      </c>
      <c r="C292" s="8" t="e">
        <f>Etat_des_stocks!G292*Base_de_donnee_articles!D292</f>
        <v>#VALUE!</v>
      </c>
      <c r="D292" s="26" t="e">
        <f>Etat_des_stocks!F292*Base_de_donnee_articles!D292</f>
        <v>#DIV/0!</v>
      </c>
      <c r="E292" s="4" t="str">
        <f>IF(Base_de_donnee_articles!E292="","",Base_de_donnee_articles!E292)</f>
        <v/>
      </c>
    </row>
    <row r="293" spans="2:5" x14ac:dyDescent="0.35">
      <c r="B293" s="4" t="str">
        <f>IF(Base_de_donnee_articles!B293="","",Base_de_donnee_articles!B293)</f>
        <v/>
      </c>
      <c r="C293" s="8" t="e">
        <f>Etat_des_stocks!G293*Base_de_donnee_articles!D293</f>
        <v>#VALUE!</v>
      </c>
      <c r="D293" s="26" t="e">
        <f>Etat_des_stocks!F293*Base_de_donnee_articles!D293</f>
        <v>#DIV/0!</v>
      </c>
      <c r="E293" s="4" t="str">
        <f>IF(Base_de_donnee_articles!E293="","",Base_de_donnee_articles!E293)</f>
        <v/>
      </c>
    </row>
    <row r="294" spans="2:5" x14ac:dyDescent="0.35">
      <c r="B294" s="4" t="str">
        <f>IF(Base_de_donnee_articles!B294="","",Base_de_donnee_articles!B294)</f>
        <v/>
      </c>
      <c r="C294" s="8" t="e">
        <f>Etat_des_stocks!G294*Base_de_donnee_articles!D294</f>
        <v>#VALUE!</v>
      </c>
      <c r="D294" s="26" t="e">
        <f>Etat_des_stocks!F294*Base_de_donnee_articles!D294</f>
        <v>#DIV/0!</v>
      </c>
      <c r="E294" s="4" t="str">
        <f>IF(Base_de_donnee_articles!E294="","",Base_de_donnee_articles!E294)</f>
        <v/>
      </c>
    </row>
    <row r="295" spans="2:5" x14ac:dyDescent="0.35">
      <c r="B295" s="4" t="str">
        <f>IF(Base_de_donnee_articles!B295="","",Base_de_donnee_articles!B295)</f>
        <v/>
      </c>
      <c r="C295" s="8" t="e">
        <f>Etat_des_stocks!G295*Base_de_donnee_articles!D295</f>
        <v>#VALUE!</v>
      </c>
      <c r="D295" s="26" t="e">
        <f>Etat_des_stocks!F295*Base_de_donnee_articles!D295</f>
        <v>#DIV/0!</v>
      </c>
      <c r="E295" s="4" t="str">
        <f>IF(Base_de_donnee_articles!E295="","",Base_de_donnee_articles!E295)</f>
        <v/>
      </c>
    </row>
    <row r="296" spans="2:5" x14ac:dyDescent="0.35">
      <c r="B296" s="4" t="str">
        <f>IF(Base_de_donnee_articles!B296="","",Base_de_donnee_articles!B296)</f>
        <v/>
      </c>
      <c r="C296" s="8" t="e">
        <f>Etat_des_stocks!G296*Base_de_donnee_articles!D296</f>
        <v>#VALUE!</v>
      </c>
      <c r="D296" s="26" t="e">
        <f>Etat_des_stocks!F296*Base_de_donnee_articles!D296</f>
        <v>#DIV/0!</v>
      </c>
      <c r="E296" s="4" t="str">
        <f>IF(Base_de_donnee_articles!E296="","",Base_de_donnee_articles!E296)</f>
        <v/>
      </c>
    </row>
    <row r="297" spans="2:5" x14ac:dyDescent="0.35">
      <c r="B297" s="4" t="str">
        <f>IF(Base_de_donnee_articles!B297="","",Base_de_donnee_articles!B297)</f>
        <v/>
      </c>
      <c r="C297" s="8" t="e">
        <f>Etat_des_stocks!G297*Base_de_donnee_articles!D297</f>
        <v>#VALUE!</v>
      </c>
      <c r="D297" s="26" t="e">
        <f>Etat_des_stocks!F297*Base_de_donnee_articles!D297</f>
        <v>#DIV/0!</v>
      </c>
      <c r="E297" s="4" t="str">
        <f>IF(Base_de_donnee_articles!E297="","",Base_de_donnee_articles!E297)</f>
        <v/>
      </c>
    </row>
    <row r="298" spans="2:5" x14ac:dyDescent="0.35">
      <c r="B298" s="4" t="str">
        <f>IF(Base_de_donnee_articles!B298="","",Base_de_donnee_articles!B298)</f>
        <v/>
      </c>
      <c r="C298" s="8" t="e">
        <f>Etat_des_stocks!G298*Base_de_donnee_articles!D298</f>
        <v>#VALUE!</v>
      </c>
      <c r="D298" s="26" t="e">
        <f>Etat_des_stocks!F298*Base_de_donnee_articles!D298</f>
        <v>#VALUE!</v>
      </c>
      <c r="E298" s="4" t="str">
        <f>IF(Base_de_donnee_articles!E298="","",Base_de_donnee_articles!E298)</f>
        <v/>
      </c>
    </row>
    <row r="299" spans="2:5" x14ac:dyDescent="0.35">
      <c r="B299" s="4" t="str">
        <f>IF(Base_de_donnee_articles!B299="","",Base_de_donnee_articles!B299)</f>
        <v/>
      </c>
      <c r="C299" s="8" t="e">
        <f>Etat_des_stocks!G299*Base_de_donnee_articles!D299</f>
        <v>#VALUE!</v>
      </c>
      <c r="D299" s="26" t="e">
        <f>Etat_des_stocks!F299*Base_de_donnee_articles!D299</f>
        <v>#VALUE!</v>
      </c>
      <c r="E299" s="4" t="str">
        <f>IF(Base_de_donnee_articles!E299="","",Base_de_donnee_articles!E299)</f>
        <v/>
      </c>
    </row>
    <row r="300" spans="2:5" x14ac:dyDescent="0.35">
      <c r="B300" s="4" t="str">
        <f>IF(Base_de_donnee_articles!B300="","",Base_de_donnee_articles!B300)</f>
        <v/>
      </c>
      <c r="C300" s="8" t="e">
        <f>Etat_des_stocks!G300*Base_de_donnee_articles!D300</f>
        <v>#VALUE!</v>
      </c>
      <c r="D300" s="26" t="e">
        <f>Etat_des_stocks!F300*Base_de_donnee_articles!D300</f>
        <v>#VALUE!</v>
      </c>
      <c r="E300" s="4" t="str">
        <f>IF(Base_de_donnee_articles!E300="","",Base_de_donnee_articles!E300)</f>
        <v/>
      </c>
    </row>
    <row r="301" spans="2:5" x14ac:dyDescent="0.35">
      <c r="B301" s="4" t="str">
        <f>IF(Base_de_donnee_articles!B301="","",Base_de_donnee_articles!B301)</f>
        <v/>
      </c>
      <c r="C301" s="8" t="e">
        <f>Etat_des_stocks!G301*Base_de_donnee_articles!D301</f>
        <v>#VALUE!</v>
      </c>
      <c r="D301" s="26" t="e">
        <f>Etat_des_stocks!F301*Base_de_donnee_articles!D301</f>
        <v>#VALUE!</v>
      </c>
      <c r="E301" s="4" t="str">
        <f>IF(Base_de_donnee_articles!E301="","",Base_de_donnee_articles!E301)</f>
        <v/>
      </c>
    </row>
    <row r="302" spans="2:5" x14ac:dyDescent="0.35">
      <c r="B302" s="4" t="str">
        <f>IF(Base_de_donnee_articles!B302="","",Base_de_donnee_articles!B302)</f>
        <v/>
      </c>
      <c r="C302" s="8" t="e">
        <f>Etat_des_stocks!G302*Base_de_donnee_articles!D302</f>
        <v>#VALUE!</v>
      </c>
      <c r="D302" s="26" t="e">
        <f>Etat_des_stocks!F302*Base_de_donnee_articles!D302</f>
        <v>#VALUE!</v>
      </c>
      <c r="E302" s="4" t="str">
        <f>IF(Base_de_donnee_articles!E302="","",Base_de_donnee_articles!E302)</f>
        <v/>
      </c>
    </row>
    <row r="303" spans="2:5" x14ac:dyDescent="0.35">
      <c r="B303" s="4" t="str">
        <f>IF(Base_de_donnee_articles!B303="","",Base_de_donnee_articles!B303)</f>
        <v/>
      </c>
      <c r="C303" s="8" t="e">
        <f>Etat_des_stocks!G303*Base_de_donnee_articles!D303</f>
        <v>#VALUE!</v>
      </c>
      <c r="D303" s="26" t="e">
        <f>Etat_des_stocks!F303*Base_de_donnee_articles!D303</f>
        <v>#VALUE!</v>
      </c>
      <c r="E303" s="4" t="str">
        <f>IF(Base_de_donnee_articles!E303="","",Base_de_donnee_articles!E303)</f>
        <v/>
      </c>
    </row>
    <row r="304" spans="2:5" x14ac:dyDescent="0.35">
      <c r="B304" s="4" t="str">
        <f>IF(Base_de_donnee_articles!B304="","",Base_de_donnee_articles!B304)</f>
        <v/>
      </c>
      <c r="C304" s="8" t="e">
        <f>Etat_des_stocks!G304*Base_de_donnee_articles!D304</f>
        <v>#VALUE!</v>
      </c>
      <c r="D304" s="26" t="e">
        <f>Etat_des_stocks!F304*Base_de_donnee_articles!D304</f>
        <v>#VALUE!</v>
      </c>
      <c r="E304" s="4" t="str">
        <f>IF(Base_de_donnee_articles!E304="","",Base_de_donnee_articles!E304)</f>
        <v/>
      </c>
    </row>
    <row r="305" spans="2:5" x14ac:dyDescent="0.35">
      <c r="B305" s="4" t="str">
        <f>IF(Base_de_donnee_articles!B305="","",Base_de_donnee_articles!B305)</f>
        <v/>
      </c>
      <c r="C305" s="8" t="e">
        <f>Etat_des_stocks!G305*Base_de_donnee_articles!D305</f>
        <v>#VALUE!</v>
      </c>
      <c r="D305" s="26" t="e">
        <f>Etat_des_stocks!F305*Base_de_donnee_articles!D305</f>
        <v>#VALUE!</v>
      </c>
      <c r="E305" s="4" t="str">
        <f>IF(Base_de_donnee_articles!E305="","",Base_de_donnee_articles!E305)</f>
        <v/>
      </c>
    </row>
    <row r="306" spans="2:5" x14ac:dyDescent="0.35">
      <c r="B306" s="4" t="str">
        <f>IF(Base_de_donnee_articles!B306="","",Base_de_donnee_articles!B306)</f>
        <v/>
      </c>
      <c r="C306" s="8" t="e">
        <f>Etat_des_stocks!G306*Base_de_donnee_articles!D306</f>
        <v>#VALUE!</v>
      </c>
      <c r="D306" s="26" t="e">
        <f>Etat_des_stocks!F306*Base_de_donnee_articles!D306</f>
        <v>#VALUE!</v>
      </c>
      <c r="E306" s="4" t="str">
        <f>IF(Base_de_donnee_articles!E306="","",Base_de_donnee_articles!E306)</f>
        <v/>
      </c>
    </row>
    <row r="307" spans="2:5" x14ac:dyDescent="0.35">
      <c r="B307" s="4" t="str">
        <f>IF(Base_de_donnee_articles!B307="","",Base_de_donnee_articles!B307)</f>
        <v/>
      </c>
      <c r="C307" s="8" t="e">
        <f>Etat_des_stocks!G307*Base_de_donnee_articles!D307</f>
        <v>#VALUE!</v>
      </c>
      <c r="D307" s="26" t="e">
        <f>Etat_des_stocks!F307*Base_de_donnee_articles!D307</f>
        <v>#VALUE!</v>
      </c>
      <c r="E307" s="4" t="str">
        <f>IF(Base_de_donnee_articles!E307="","",Base_de_donnee_articles!E307)</f>
        <v/>
      </c>
    </row>
    <row r="308" spans="2:5" x14ac:dyDescent="0.35">
      <c r="B308" s="4" t="str">
        <f>IF(Base_de_donnee_articles!B308="","",Base_de_donnee_articles!B308)</f>
        <v/>
      </c>
      <c r="C308" s="8" t="e">
        <f>Etat_des_stocks!G308*Base_de_donnee_articles!D308</f>
        <v>#VALUE!</v>
      </c>
      <c r="D308" s="26" t="e">
        <f>Etat_des_stocks!F308*Base_de_donnee_articles!D308</f>
        <v>#VALUE!</v>
      </c>
      <c r="E308" s="4" t="str">
        <f>IF(Base_de_donnee_articles!E308="","",Base_de_donnee_articles!E308)</f>
        <v/>
      </c>
    </row>
    <row r="309" spans="2:5" x14ac:dyDescent="0.35">
      <c r="B309" s="4" t="str">
        <f>IF(Base_de_donnee_articles!B309="","",Base_de_donnee_articles!B309)</f>
        <v/>
      </c>
      <c r="C309" s="8" t="e">
        <f>Etat_des_stocks!G309*Base_de_donnee_articles!D309</f>
        <v>#VALUE!</v>
      </c>
      <c r="D309" s="26" t="e">
        <f>Etat_des_stocks!F309*Base_de_donnee_articles!D309</f>
        <v>#VALUE!</v>
      </c>
      <c r="E309" s="4" t="str">
        <f>IF(Base_de_donnee_articles!E309="","",Base_de_donnee_articles!E309)</f>
        <v/>
      </c>
    </row>
    <row r="310" spans="2:5" x14ac:dyDescent="0.35">
      <c r="B310" s="4" t="str">
        <f>IF(Base_de_donnee_articles!B310="","",Base_de_donnee_articles!B310)</f>
        <v/>
      </c>
      <c r="C310" s="8" t="e">
        <f>Etat_des_stocks!G310*Base_de_donnee_articles!D310</f>
        <v>#VALUE!</v>
      </c>
      <c r="D310" s="26" t="e">
        <f>Etat_des_stocks!F310*Base_de_donnee_articles!D310</f>
        <v>#VALUE!</v>
      </c>
      <c r="E310" s="4" t="str">
        <f>IF(Base_de_donnee_articles!E310="","",Base_de_donnee_articles!E310)</f>
        <v/>
      </c>
    </row>
    <row r="311" spans="2:5" x14ac:dyDescent="0.35">
      <c r="B311" s="4" t="str">
        <f>IF(Base_de_donnee_articles!B311="","",Base_de_donnee_articles!B311)</f>
        <v/>
      </c>
      <c r="C311" s="8" t="e">
        <f>Etat_des_stocks!G311*Base_de_donnee_articles!D311</f>
        <v>#VALUE!</v>
      </c>
      <c r="D311" s="26" t="e">
        <f>Etat_des_stocks!F311*Base_de_donnee_articles!D311</f>
        <v>#VALUE!</v>
      </c>
      <c r="E311" s="4" t="str">
        <f>IF(Base_de_donnee_articles!E311="","",Base_de_donnee_articles!E311)</f>
        <v/>
      </c>
    </row>
    <row r="312" spans="2:5" x14ac:dyDescent="0.35">
      <c r="B312" s="4" t="str">
        <f>IF(Base_de_donnee_articles!B312="","",Base_de_donnee_articles!B312)</f>
        <v/>
      </c>
      <c r="C312" s="8" t="e">
        <f>Etat_des_stocks!G312*Base_de_donnee_articles!D312</f>
        <v>#VALUE!</v>
      </c>
      <c r="D312" s="26" t="e">
        <f>Etat_des_stocks!F312*Base_de_donnee_articles!D312</f>
        <v>#VALUE!</v>
      </c>
      <c r="E312" s="4" t="str">
        <f>IF(Base_de_donnee_articles!E312="","",Base_de_donnee_articles!E312)</f>
        <v/>
      </c>
    </row>
    <row r="313" spans="2:5" x14ac:dyDescent="0.35">
      <c r="B313" s="4" t="str">
        <f>IF(Base_de_donnee_articles!B313="","",Base_de_donnee_articles!B313)</f>
        <v/>
      </c>
      <c r="C313" s="8" t="e">
        <f>Etat_des_stocks!G313*Base_de_donnee_articles!D313</f>
        <v>#VALUE!</v>
      </c>
      <c r="D313" s="26" t="e">
        <f>Etat_des_stocks!F313*Base_de_donnee_articles!D313</f>
        <v>#VALUE!</v>
      </c>
      <c r="E313" s="4" t="str">
        <f>IF(Base_de_donnee_articles!E313="","",Base_de_donnee_articles!E313)</f>
        <v/>
      </c>
    </row>
    <row r="314" spans="2:5" x14ac:dyDescent="0.35">
      <c r="B314" s="4" t="str">
        <f>IF(Base_de_donnee_articles!B314="","",Base_de_donnee_articles!B314)</f>
        <v/>
      </c>
      <c r="C314" s="8" t="e">
        <f>Etat_des_stocks!G314*Base_de_donnee_articles!D314</f>
        <v>#VALUE!</v>
      </c>
      <c r="D314" s="26" t="e">
        <f>Etat_des_stocks!F314*Base_de_donnee_articles!D314</f>
        <v>#VALUE!</v>
      </c>
      <c r="E314" s="4" t="str">
        <f>IF(Base_de_donnee_articles!E314="","",Base_de_donnee_articles!E314)</f>
        <v/>
      </c>
    </row>
    <row r="315" spans="2:5" x14ac:dyDescent="0.35">
      <c r="B315" s="4" t="str">
        <f>IF(Base_de_donnee_articles!B315="","",Base_de_donnee_articles!B315)</f>
        <v/>
      </c>
      <c r="C315" s="8" t="e">
        <f>Etat_des_stocks!G315*Base_de_donnee_articles!D315</f>
        <v>#VALUE!</v>
      </c>
      <c r="D315" s="26" t="e">
        <f>Etat_des_stocks!F315*Base_de_donnee_articles!D315</f>
        <v>#VALUE!</v>
      </c>
      <c r="E315" s="4" t="str">
        <f>IF(Base_de_donnee_articles!E315="","",Base_de_donnee_articles!E315)</f>
        <v/>
      </c>
    </row>
    <row r="316" spans="2:5" x14ac:dyDescent="0.35">
      <c r="B316" s="4" t="str">
        <f>IF(Base_de_donnee_articles!B316="","",Base_de_donnee_articles!B316)</f>
        <v/>
      </c>
      <c r="C316" s="8" t="e">
        <f>Etat_des_stocks!G316*Base_de_donnee_articles!D316</f>
        <v>#VALUE!</v>
      </c>
      <c r="D316" s="26" t="e">
        <f>Etat_des_stocks!F316*Base_de_donnee_articles!D316</f>
        <v>#VALUE!</v>
      </c>
      <c r="E316" s="4" t="str">
        <f>IF(Base_de_donnee_articles!E316="","",Base_de_donnee_articles!E316)</f>
        <v/>
      </c>
    </row>
    <row r="317" spans="2:5" x14ac:dyDescent="0.35">
      <c r="B317" s="4" t="str">
        <f>IF(Base_de_donnee_articles!B317="","",Base_de_donnee_articles!B317)</f>
        <v/>
      </c>
      <c r="C317" s="8" t="e">
        <f>Etat_des_stocks!G317*Base_de_donnee_articles!D317</f>
        <v>#VALUE!</v>
      </c>
      <c r="D317" s="26" t="e">
        <f>Etat_des_stocks!F317*Base_de_donnee_articles!D317</f>
        <v>#VALUE!</v>
      </c>
      <c r="E317" s="4" t="str">
        <f>IF(Base_de_donnee_articles!E317="","",Base_de_donnee_articles!E317)</f>
        <v/>
      </c>
    </row>
    <row r="318" spans="2:5" x14ac:dyDescent="0.35">
      <c r="B318" s="4" t="str">
        <f>IF(Base_de_donnee_articles!B318="","",Base_de_donnee_articles!B318)</f>
        <v/>
      </c>
      <c r="C318" s="8" t="e">
        <f>Etat_des_stocks!G318*Base_de_donnee_articles!D318</f>
        <v>#VALUE!</v>
      </c>
      <c r="D318" s="26" t="e">
        <f>Etat_des_stocks!F318*Base_de_donnee_articles!D318</f>
        <v>#VALUE!</v>
      </c>
      <c r="E318" s="4" t="str">
        <f>IF(Base_de_donnee_articles!E318="","",Base_de_donnee_articles!E318)</f>
        <v/>
      </c>
    </row>
    <row r="319" spans="2:5" x14ac:dyDescent="0.35">
      <c r="B319" s="4" t="str">
        <f>IF(Base_de_donnee_articles!B319="","",Base_de_donnee_articles!B319)</f>
        <v/>
      </c>
      <c r="C319" s="8" t="e">
        <f>Etat_des_stocks!G319*Base_de_donnee_articles!D319</f>
        <v>#VALUE!</v>
      </c>
      <c r="D319" s="26" t="e">
        <f>Etat_des_stocks!F319*Base_de_donnee_articles!D319</f>
        <v>#VALUE!</v>
      </c>
      <c r="E319" s="4" t="str">
        <f>IF(Base_de_donnee_articles!E319="","",Base_de_donnee_articles!E319)</f>
        <v/>
      </c>
    </row>
    <row r="320" spans="2:5" x14ac:dyDescent="0.35">
      <c r="B320" s="4" t="str">
        <f>IF(Base_de_donnee_articles!B320="","",Base_de_donnee_articles!B320)</f>
        <v/>
      </c>
      <c r="C320" s="8" t="e">
        <f>Etat_des_stocks!G320*Base_de_donnee_articles!D320</f>
        <v>#VALUE!</v>
      </c>
      <c r="D320" s="26" t="e">
        <f>Etat_des_stocks!F320*Base_de_donnee_articles!D320</f>
        <v>#VALUE!</v>
      </c>
      <c r="E320" s="4" t="str">
        <f>IF(Base_de_donnee_articles!E320="","",Base_de_donnee_articles!E320)</f>
        <v/>
      </c>
    </row>
    <row r="321" spans="2:5" x14ac:dyDescent="0.35">
      <c r="B321" s="4" t="str">
        <f>IF(Base_de_donnee_articles!B321="","",Base_de_donnee_articles!B321)</f>
        <v/>
      </c>
      <c r="C321" s="8" t="e">
        <f>Etat_des_stocks!G321*Base_de_donnee_articles!D321</f>
        <v>#VALUE!</v>
      </c>
      <c r="D321" s="26" t="e">
        <f>Etat_des_stocks!F321*Base_de_donnee_articles!D321</f>
        <v>#VALUE!</v>
      </c>
      <c r="E321" s="4" t="str">
        <f>IF(Base_de_donnee_articles!E321="","",Base_de_donnee_articles!E321)</f>
        <v/>
      </c>
    </row>
    <row r="322" spans="2:5" x14ac:dyDescent="0.35">
      <c r="B322" s="4" t="str">
        <f>IF(Base_de_donnee_articles!B322="","",Base_de_donnee_articles!B322)</f>
        <v/>
      </c>
      <c r="C322" s="8" t="e">
        <f>Etat_des_stocks!G322*Base_de_donnee_articles!D322</f>
        <v>#VALUE!</v>
      </c>
      <c r="D322" s="26" t="e">
        <f>Etat_des_stocks!F322*Base_de_donnee_articles!D322</f>
        <v>#VALUE!</v>
      </c>
      <c r="E322" s="4" t="str">
        <f>IF(Base_de_donnee_articles!E322="","",Base_de_donnee_articles!E322)</f>
        <v/>
      </c>
    </row>
    <row r="323" spans="2:5" x14ac:dyDescent="0.35">
      <c r="B323" s="4" t="str">
        <f>IF(Base_de_donnee_articles!B323="","",Base_de_donnee_articles!B323)</f>
        <v/>
      </c>
      <c r="C323" s="8" t="e">
        <f>Etat_des_stocks!G323*Base_de_donnee_articles!D323</f>
        <v>#VALUE!</v>
      </c>
      <c r="D323" s="26" t="e">
        <f>Etat_des_stocks!F323*Base_de_donnee_articles!D323</f>
        <v>#VALUE!</v>
      </c>
      <c r="E323" s="4" t="str">
        <f>IF(Base_de_donnee_articles!E323="","",Base_de_donnee_articles!E323)</f>
        <v/>
      </c>
    </row>
    <row r="324" spans="2:5" x14ac:dyDescent="0.35">
      <c r="B324" s="4" t="str">
        <f>IF(Base_de_donnee_articles!B324="","",Base_de_donnee_articles!B324)</f>
        <v/>
      </c>
      <c r="C324" s="8" t="e">
        <f>Etat_des_stocks!G324*Base_de_donnee_articles!D324</f>
        <v>#VALUE!</v>
      </c>
      <c r="D324" s="26" t="e">
        <f>Etat_des_stocks!F324*Base_de_donnee_articles!D324</f>
        <v>#VALUE!</v>
      </c>
      <c r="E324" s="4" t="str">
        <f>IF(Base_de_donnee_articles!E324="","",Base_de_donnee_articles!E324)</f>
        <v/>
      </c>
    </row>
    <row r="325" spans="2:5" x14ac:dyDescent="0.35">
      <c r="B325" s="4" t="str">
        <f>IF(Base_de_donnee_articles!B325="","",Base_de_donnee_articles!B325)</f>
        <v/>
      </c>
      <c r="C325" s="8" t="e">
        <f>Etat_des_stocks!G325*Base_de_donnee_articles!D325</f>
        <v>#VALUE!</v>
      </c>
      <c r="D325" s="26" t="e">
        <f>Etat_des_stocks!F325*Base_de_donnee_articles!D325</f>
        <v>#VALUE!</v>
      </c>
      <c r="E325" s="4" t="str">
        <f>IF(Base_de_donnee_articles!E325="","",Base_de_donnee_articles!E325)</f>
        <v/>
      </c>
    </row>
    <row r="326" spans="2:5" x14ac:dyDescent="0.35">
      <c r="B326" s="4" t="str">
        <f>IF(Base_de_donnee_articles!B326="","",Base_de_donnee_articles!B326)</f>
        <v/>
      </c>
      <c r="C326" s="8" t="e">
        <f>Etat_des_stocks!G326*Base_de_donnee_articles!D326</f>
        <v>#VALUE!</v>
      </c>
      <c r="D326" s="26" t="e">
        <f>Etat_des_stocks!F326*Base_de_donnee_articles!D326</f>
        <v>#VALUE!</v>
      </c>
      <c r="E326" s="4" t="str">
        <f>IF(Base_de_donnee_articles!E326="","",Base_de_donnee_articles!E326)</f>
        <v/>
      </c>
    </row>
    <row r="327" spans="2:5" x14ac:dyDescent="0.35">
      <c r="B327" s="4" t="str">
        <f>IF(Base_de_donnee_articles!B327="","",Base_de_donnee_articles!B327)</f>
        <v/>
      </c>
      <c r="C327" s="8" t="e">
        <f>Etat_des_stocks!G327*Base_de_donnee_articles!D327</f>
        <v>#VALUE!</v>
      </c>
      <c r="D327" s="26" t="e">
        <f>Etat_des_stocks!F327*Base_de_donnee_articles!D327</f>
        <v>#VALUE!</v>
      </c>
      <c r="E327" s="4" t="str">
        <f>IF(Base_de_donnee_articles!E327="","",Base_de_donnee_articles!E327)</f>
        <v/>
      </c>
    </row>
    <row r="328" spans="2:5" x14ac:dyDescent="0.35">
      <c r="B328" s="4" t="str">
        <f>IF(Base_de_donnee_articles!B328="","",Base_de_donnee_articles!B328)</f>
        <v/>
      </c>
      <c r="C328" s="8" t="e">
        <f>Etat_des_stocks!G328*Base_de_donnee_articles!D328</f>
        <v>#VALUE!</v>
      </c>
      <c r="D328" s="26" t="e">
        <f>Etat_des_stocks!F328*Base_de_donnee_articles!D328</f>
        <v>#VALUE!</v>
      </c>
      <c r="E328" s="4" t="str">
        <f>IF(Base_de_donnee_articles!E328="","",Base_de_donnee_articles!E328)</f>
        <v/>
      </c>
    </row>
    <row r="329" spans="2:5" x14ac:dyDescent="0.35">
      <c r="B329" s="4" t="str">
        <f>IF(Base_de_donnee_articles!B329="","",Base_de_donnee_articles!B329)</f>
        <v/>
      </c>
      <c r="C329" s="8" t="e">
        <f>Etat_des_stocks!G329*Base_de_donnee_articles!D329</f>
        <v>#VALUE!</v>
      </c>
      <c r="D329" s="26" t="e">
        <f>Etat_des_stocks!F329*Base_de_donnee_articles!D329</f>
        <v>#VALUE!</v>
      </c>
      <c r="E329" s="4" t="str">
        <f>IF(Base_de_donnee_articles!E329="","",Base_de_donnee_articles!E329)</f>
        <v/>
      </c>
    </row>
    <row r="330" spans="2:5" x14ac:dyDescent="0.35">
      <c r="B330" s="4" t="str">
        <f>IF(Base_de_donnee_articles!B330="","",Base_de_donnee_articles!B330)</f>
        <v/>
      </c>
      <c r="C330" s="8" t="e">
        <f>Etat_des_stocks!G330*Base_de_donnee_articles!D330</f>
        <v>#VALUE!</v>
      </c>
      <c r="D330" s="26" t="e">
        <f>Etat_des_stocks!F330*Base_de_donnee_articles!D330</f>
        <v>#VALUE!</v>
      </c>
      <c r="E330" s="4" t="str">
        <f>IF(Base_de_donnee_articles!E330="","",Base_de_donnee_articles!E330)</f>
        <v/>
      </c>
    </row>
    <row r="331" spans="2:5" x14ac:dyDescent="0.35">
      <c r="B331" s="4" t="str">
        <f>IF(Base_de_donnee_articles!B331="","",Base_de_donnee_articles!B331)</f>
        <v/>
      </c>
      <c r="C331" s="8" t="e">
        <f>Etat_des_stocks!G331*Base_de_donnee_articles!D331</f>
        <v>#VALUE!</v>
      </c>
      <c r="D331" s="26" t="e">
        <f>Etat_des_stocks!F331*Base_de_donnee_articles!D331</f>
        <v>#VALUE!</v>
      </c>
      <c r="E331" s="4" t="str">
        <f>IF(Base_de_donnee_articles!E331="","",Base_de_donnee_articles!E331)</f>
        <v/>
      </c>
    </row>
    <row r="332" spans="2:5" x14ac:dyDescent="0.35">
      <c r="B332" s="4" t="str">
        <f>IF(Base_de_donnee_articles!B332="","",Base_de_donnee_articles!B332)</f>
        <v/>
      </c>
      <c r="C332" s="8" t="e">
        <f>Etat_des_stocks!G332*Base_de_donnee_articles!D332</f>
        <v>#VALUE!</v>
      </c>
      <c r="D332" s="26" t="e">
        <f>Etat_des_stocks!F332*Base_de_donnee_articles!D332</f>
        <v>#VALUE!</v>
      </c>
      <c r="E332" s="4" t="str">
        <f>IF(Base_de_donnee_articles!E332="","",Base_de_donnee_articles!E332)</f>
        <v/>
      </c>
    </row>
    <row r="333" spans="2:5" x14ac:dyDescent="0.35">
      <c r="B333" s="4" t="str">
        <f>IF(Base_de_donnee_articles!B333="","",Base_de_donnee_articles!B333)</f>
        <v/>
      </c>
      <c r="C333" s="8" t="e">
        <f>Etat_des_stocks!G333*Base_de_donnee_articles!D333</f>
        <v>#VALUE!</v>
      </c>
      <c r="D333" s="26" t="e">
        <f>Etat_des_stocks!F333*Base_de_donnee_articles!D333</f>
        <v>#VALUE!</v>
      </c>
      <c r="E333" s="4" t="str">
        <f>IF(Base_de_donnee_articles!E333="","",Base_de_donnee_articles!E333)</f>
        <v/>
      </c>
    </row>
    <row r="334" spans="2:5" x14ac:dyDescent="0.35">
      <c r="B334" s="4" t="str">
        <f>IF(Base_de_donnee_articles!B334="","",Base_de_donnee_articles!B334)</f>
        <v/>
      </c>
      <c r="C334" s="8" t="e">
        <f>Etat_des_stocks!G334*Base_de_donnee_articles!D334</f>
        <v>#VALUE!</v>
      </c>
      <c r="D334" s="26" t="e">
        <f>Etat_des_stocks!F334*Base_de_donnee_articles!D334</f>
        <v>#VALUE!</v>
      </c>
      <c r="E334" s="4" t="str">
        <f>IF(Base_de_donnee_articles!E334="","",Base_de_donnee_articles!E334)</f>
        <v/>
      </c>
    </row>
    <row r="335" spans="2:5" x14ac:dyDescent="0.35">
      <c r="B335" s="4" t="str">
        <f>IF(Base_de_donnee_articles!B335="","",Base_de_donnee_articles!B335)</f>
        <v/>
      </c>
      <c r="C335" s="8" t="e">
        <f>Etat_des_stocks!G335*Base_de_donnee_articles!D335</f>
        <v>#VALUE!</v>
      </c>
      <c r="D335" s="26" t="e">
        <f>Etat_des_stocks!F335*Base_de_donnee_articles!D335</f>
        <v>#VALUE!</v>
      </c>
      <c r="E335" s="4" t="str">
        <f>IF(Base_de_donnee_articles!E335="","",Base_de_donnee_articles!E335)</f>
        <v/>
      </c>
    </row>
    <row r="336" spans="2:5" x14ac:dyDescent="0.35">
      <c r="B336" s="4" t="str">
        <f>IF(Base_de_donnee_articles!B336="","",Base_de_donnee_articles!B336)</f>
        <v/>
      </c>
      <c r="C336" s="8" t="e">
        <f>Etat_des_stocks!G336*Base_de_donnee_articles!D336</f>
        <v>#VALUE!</v>
      </c>
      <c r="D336" s="26" t="e">
        <f>Etat_des_stocks!F336*Base_de_donnee_articles!D336</f>
        <v>#VALUE!</v>
      </c>
      <c r="E336" s="4" t="str">
        <f>IF(Base_de_donnee_articles!E336="","",Base_de_donnee_articles!E336)</f>
        <v/>
      </c>
    </row>
    <row r="337" spans="2:5" x14ac:dyDescent="0.35">
      <c r="B337" s="4" t="str">
        <f>IF(Base_de_donnee_articles!B337="","",Base_de_donnee_articles!B337)</f>
        <v/>
      </c>
      <c r="C337" s="8" t="e">
        <f>Etat_des_stocks!G337*Base_de_donnee_articles!D337</f>
        <v>#VALUE!</v>
      </c>
      <c r="D337" s="26" t="e">
        <f>Etat_des_stocks!F337*Base_de_donnee_articles!D337</f>
        <v>#VALUE!</v>
      </c>
      <c r="E337" s="4" t="str">
        <f>IF(Base_de_donnee_articles!E337="","",Base_de_donnee_articles!E337)</f>
        <v/>
      </c>
    </row>
    <row r="338" spans="2:5" x14ac:dyDescent="0.35">
      <c r="B338" s="4" t="str">
        <f>IF(Base_de_donnee_articles!B338="","",Base_de_donnee_articles!B338)</f>
        <v/>
      </c>
      <c r="C338" s="8" t="e">
        <f>Etat_des_stocks!G338*Base_de_donnee_articles!D338</f>
        <v>#VALUE!</v>
      </c>
      <c r="D338" s="26" t="e">
        <f>Etat_des_stocks!F338*Base_de_donnee_articles!D338</f>
        <v>#VALUE!</v>
      </c>
      <c r="E338" s="4" t="str">
        <f>IF(Base_de_donnee_articles!E338="","",Base_de_donnee_articles!E338)</f>
        <v/>
      </c>
    </row>
    <row r="339" spans="2:5" x14ac:dyDescent="0.35">
      <c r="B339" s="4" t="str">
        <f>IF(Base_de_donnee_articles!B339="","",Base_de_donnee_articles!B339)</f>
        <v/>
      </c>
      <c r="C339" s="8" t="e">
        <f>Etat_des_stocks!G339*Base_de_donnee_articles!D339</f>
        <v>#VALUE!</v>
      </c>
      <c r="D339" s="26" t="e">
        <f>Etat_des_stocks!F339*Base_de_donnee_articles!D339</f>
        <v>#VALUE!</v>
      </c>
      <c r="E339" s="4" t="str">
        <f>IF(Base_de_donnee_articles!E339="","",Base_de_donnee_articles!E339)</f>
        <v/>
      </c>
    </row>
    <row r="340" spans="2:5" x14ac:dyDescent="0.35">
      <c r="B340" s="4" t="str">
        <f>IF(Base_de_donnee_articles!B340="","",Base_de_donnee_articles!B340)</f>
        <v/>
      </c>
      <c r="C340" s="8" t="e">
        <f>Etat_des_stocks!G340*Base_de_donnee_articles!D340</f>
        <v>#VALUE!</v>
      </c>
      <c r="D340" s="26" t="e">
        <f>Etat_des_stocks!F340*Base_de_donnee_articles!D340</f>
        <v>#VALUE!</v>
      </c>
      <c r="E340" s="4" t="str">
        <f>IF(Base_de_donnee_articles!E340="","",Base_de_donnee_articles!E340)</f>
        <v/>
      </c>
    </row>
    <row r="341" spans="2:5" x14ac:dyDescent="0.35">
      <c r="B341" s="4" t="str">
        <f>IF(Base_de_donnee_articles!B341="","",Base_de_donnee_articles!B341)</f>
        <v/>
      </c>
      <c r="C341" s="8" t="e">
        <f>Etat_des_stocks!G341*Base_de_donnee_articles!D341</f>
        <v>#VALUE!</v>
      </c>
      <c r="D341" s="26" t="e">
        <f>Etat_des_stocks!F341*Base_de_donnee_articles!D341</f>
        <v>#VALUE!</v>
      </c>
      <c r="E341" s="4" t="str">
        <f>IF(Base_de_donnee_articles!E341="","",Base_de_donnee_articles!E341)</f>
        <v/>
      </c>
    </row>
    <row r="342" spans="2:5" x14ac:dyDescent="0.35">
      <c r="B342" s="4" t="str">
        <f>IF(Base_de_donnee_articles!B342="","",Base_de_donnee_articles!B342)</f>
        <v/>
      </c>
      <c r="C342" s="8" t="e">
        <f>Etat_des_stocks!G342*Base_de_donnee_articles!D342</f>
        <v>#VALUE!</v>
      </c>
      <c r="D342" s="26" t="e">
        <f>Etat_des_stocks!F342*Base_de_donnee_articles!D342</f>
        <v>#VALUE!</v>
      </c>
      <c r="E342" s="4" t="str">
        <f>IF(Base_de_donnee_articles!E342="","",Base_de_donnee_articles!E342)</f>
        <v/>
      </c>
    </row>
    <row r="343" spans="2:5" x14ac:dyDescent="0.35">
      <c r="B343" s="4" t="str">
        <f>IF(Base_de_donnee_articles!B343="","",Base_de_donnee_articles!B343)</f>
        <v/>
      </c>
      <c r="C343" s="8" t="e">
        <f>Etat_des_stocks!G343*Base_de_donnee_articles!D343</f>
        <v>#VALUE!</v>
      </c>
      <c r="D343" s="26" t="e">
        <f>Etat_des_stocks!F343*Base_de_donnee_articles!D343</f>
        <v>#VALUE!</v>
      </c>
      <c r="E343" s="4" t="str">
        <f>IF(Base_de_donnee_articles!E343="","",Base_de_donnee_articles!E343)</f>
        <v/>
      </c>
    </row>
    <row r="344" spans="2:5" x14ac:dyDescent="0.35">
      <c r="B344" s="4" t="str">
        <f>IF(Base_de_donnee_articles!B344="","",Base_de_donnee_articles!B344)</f>
        <v/>
      </c>
      <c r="C344" s="8" t="e">
        <f>Etat_des_stocks!G344*Base_de_donnee_articles!D344</f>
        <v>#VALUE!</v>
      </c>
      <c r="D344" s="26" t="e">
        <f>Etat_des_stocks!F344*Base_de_donnee_articles!D344</f>
        <v>#VALUE!</v>
      </c>
      <c r="E344" s="4" t="str">
        <f>IF(Base_de_donnee_articles!E344="","",Base_de_donnee_articles!E344)</f>
        <v/>
      </c>
    </row>
    <row r="345" spans="2:5" x14ac:dyDescent="0.35">
      <c r="B345" s="4" t="str">
        <f>IF(Base_de_donnee_articles!B345="","",Base_de_donnee_articles!B345)</f>
        <v/>
      </c>
      <c r="C345" s="8" t="e">
        <f>Etat_des_stocks!G345*Base_de_donnee_articles!D345</f>
        <v>#VALUE!</v>
      </c>
      <c r="D345" s="26" t="e">
        <f>Etat_des_stocks!F345*Base_de_donnee_articles!D345</f>
        <v>#VALUE!</v>
      </c>
      <c r="E345" s="4" t="str">
        <f>IF(Base_de_donnee_articles!E345="","",Base_de_donnee_articles!E345)</f>
        <v/>
      </c>
    </row>
    <row r="346" spans="2:5" x14ac:dyDescent="0.35">
      <c r="B346" s="4" t="str">
        <f>IF(Base_de_donnee_articles!B346="","",Base_de_donnee_articles!B346)</f>
        <v/>
      </c>
      <c r="C346" s="8" t="e">
        <f>Etat_des_stocks!G346*Base_de_donnee_articles!D346</f>
        <v>#VALUE!</v>
      </c>
      <c r="D346" s="26" t="e">
        <f>Etat_des_stocks!F346*Base_de_donnee_articles!D346</f>
        <v>#VALUE!</v>
      </c>
      <c r="E346" s="4" t="str">
        <f>IF(Base_de_donnee_articles!E346="","",Base_de_donnee_articles!E346)</f>
        <v/>
      </c>
    </row>
    <row r="347" spans="2:5" x14ac:dyDescent="0.35">
      <c r="B347" s="4" t="str">
        <f>IF(Base_de_donnee_articles!B347="","",Base_de_donnee_articles!B347)</f>
        <v/>
      </c>
      <c r="C347" s="8" t="e">
        <f>Etat_des_stocks!G347*Base_de_donnee_articles!D347</f>
        <v>#VALUE!</v>
      </c>
      <c r="D347" s="26" t="e">
        <f>Etat_des_stocks!F347*Base_de_donnee_articles!D347</f>
        <v>#VALUE!</v>
      </c>
      <c r="E347" s="4" t="str">
        <f>IF(Base_de_donnee_articles!E347="","",Base_de_donnee_articles!E347)</f>
        <v/>
      </c>
    </row>
    <row r="348" spans="2:5" x14ac:dyDescent="0.35">
      <c r="B348" s="4" t="str">
        <f>IF(Base_de_donnee_articles!B348="","",Base_de_donnee_articles!B348)</f>
        <v/>
      </c>
      <c r="C348" s="8" t="e">
        <f>Etat_des_stocks!G348*Base_de_donnee_articles!D348</f>
        <v>#VALUE!</v>
      </c>
      <c r="D348" s="26" t="e">
        <f>Etat_des_stocks!F348*Base_de_donnee_articles!D348</f>
        <v>#VALUE!</v>
      </c>
      <c r="E348" s="4" t="str">
        <f>IF(Base_de_donnee_articles!E348="","",Base_de_donnee_articles!E348)</f>
        <v/>
      </c>
    </row>
    <row r="349" spans="2:5" x14ac:dyDescent="0.35">
      <c r="B349" s="4" t="str">
        <f>IF(Base_de_donnee_articles!B349="","",Base_de_donnee_articles!B349)</f>
        <v/>
      </c>
      <c r="C349" s="8" t="e">
        <f>Etat_des_stocks!G349*Base_de_donnee_articles!D349</f>
        <v>#VALUE!</v>
      </c>
      <c r="D349" s="26" t="e">
        <f>Etat_des_stocks!F349*Base_de_donnee_articles!D349</f>
        <v>#VALUE!</v>
      </c>
      <c r="E349" s="4" t="str">
        <f>IF(Base_de_donnee_articles!E349="","",Base_de_donnee_articles!E349)</f>
        <v/>
      </c>
    </row>
    <row r="350" spans="2:5" x14ac:dyDescent="0.35">
      <c r="B350" s="4" t="str">
        <f>IF(Base_de_donnee_articles!B350="","",Base_de_donnee_articles!B350)</f>
        <v/>
      </c>
      <c r="C350" s="8" t="e">
        <f>Etat_des_stocks!G350*Base_de_donnee_articles!D350</f>
        <v>#VALUE!</v>
      </c>
      <c r="D350" s="26" t="e">
        <f>Etat_des_stocks!F350*Base_de_donnee_articles!D350</f>
        <v>#VALUE!</v>
      </c>
      <c r="E350" s="4" t="str">
        <f>IF(Base_de_donnee_articles!E350="","",Base_de_donnee_articles!E350)</f>
        <v/>
      </c>
    </row>
    <row r="351" spans="2:5" x14ac:dyDescent="0.35">
      <c r="B351" s="4" t="str">
        <f>IF(Base_de_donnee_articles!B351="","",Base_de_donnee_articles!B351)</f>
        <v/>
      </c>
      <c r="C351" s="8" t="e">
        <f>Etat_des_stocks!G351*Base_de_donnee_articles!D351</f>
        <v>#VALUE!</v>
      </c>
      <c r="D351" s="26" t="e">
        <f>Etat_des_stocks!F351*Base_de_donnee_articles!D351</f>
        <v>#VALUE!</v>
      </c>
      <c r="E351" s="4" t="str">
        <f>IF(Base_de_donnee_articles!E351="","",Base_de_donnee_articles!E351)</f>
        <v/>
      </c>
    </row>
    <row r="352" spans="2:5" x14ac:dyDescent="0.35">
      <c r="B352" s="4" t="str">
        <f>IF(Base_de_donnee_articles!B352="","",Base_de_donnee_articles!B352)</f>
        <v/>
      </c>
      <c r="C352" s="8" t="e">
        <f>Etat_des_stocks!G352*Base_de_donnee_articles!D352</f>
        <v>#VALUE!</v>
      </c>
      <c r="D352" s="26" t="e">
        <f>Etat_des_stocks!F352*Base_de_donnee_articles!D352</f>
        <v>#VALUE!</v>
      </c>
      <c r="E352" s="4" t="str">
        <f>IF(Base_de_donnee_articles!E352="","",Base_de_donnee_articles!E352)</f>
        <v/>
      </c>
    </row>
    <row r="353" spans="2:5" x14ac:dyDescent="0.35">
      <c r="B353" s="4" t="str">
        <f>IF(Base_de_donnee_articles!B353="","",Base_de_donnee_articles!B353)</f>
        <v/>
      </c>
      <c r="C353" s="8" t="e">
        <f>Etat_des_stocks!G353*Base_de_donnee_articles!D353</f>
        <v>#VALUE!</v>
      </c>
      <c r="D353" s="26" t="e">
        <f>Etat_des_stocks!F353*Base_de_donnee_articles!D353</f>
        <v>#VALUE!</v>
      </c>
      <c r="E353" s="4" t="str">
        <f>IF(Base_de_donnee_articles!E353="","",Base_de_donnee_articles!E353)</f>
        <v/>
      </c>
    </row>
    <row r="354" spans="2:5" x14ac:dyDescent="0.35">
      <c r="B354" s="4" t="str">
        <f>IF(Base_de_donnee_articles!B354="","",Base_de_donnee_articles!B354)</f>
        <v/>
      </c>
      <c r="C354" s="8" t="e">
        <f>Etat_des_stocks!G354*Base_de_donnee_articles!D354</f>
        <v>#VALUE!</v>
      </c>
      <c r="D354" s="26" t="e">
        <f>Etat_des_stocks!F354*Base_de_donnee_articles!D354</f>
        <v>#VALUE!</v>
      </c>
      <c r="E354" s="4" t="str">
        <f>IF(Base_de_donnee_articles!E354="","",Base_de_donnee_articles!E354)</f>
        <v/>
      </c>
    </row>
    <row r="355" spans="2:5" x14ac:dyDescent="0.35">
      <c r="B355" s="4" t="str">
        <f>IF(Base_de_donnee_articles!B355="","",Base_de_donnee_articles!B355)</f>
        <v/>
      </c>
      <c r="C355" s="8" t="e">
        <f>Etat_des_stocks!G355*Base_de_donnee_articles!D355</f>
        <v>#VALUE!</v>
      </c>
      <c r="D355" s="26" t="e">
        <f>Etat_des_stocks!F355*Base_de_donnee_articles!D355</f>
        <v>#VALUE!</v>
      </c>
      <c r="E355" s="4" t="str">
        <f>IF(Base_de_donnee_articles!E355="","",Base_de_donnee_articles!E355)</f>
        <v/>
      </c>
    </row>
    <row r="356" spans="2:5" x14ac:dyDescent="0.35">
      <c r="B356" s="4" t="str">
        <f>IF(Base_de_donnee_articles!B356="","",Base_de_donnee_articles!B356)</f>
        <v/>
      </c>
      <c r="C356" s="8" t="e">
        <f>Etat_des_stocks!G356*Base_de_donnee_articles!D356</f>
        <v>#VALUE!</v>
      </c>
      <c r="D356" s="26" t="e">
        <f>Etat_des_stocks!F356*Base_de_donnee_articles!D356</f>
        <v>#VALUE!</v>
      </c>
      <c r="E356" s="4" t="str">
        <f>IF(Base_de_donnee_articles!E356="","",Base_de_donnee_articles!E356)</f>
        <v/>
      </c>
    </row>
    <row r="357" spans="2:5" x14ac:dyDescent="0.35">
      <c r="B357" s="4" t="str">
        <f>IF(Base_de_donnee_articles!B357="","",Base_de_donnee_articles!B357)</f>
        <v/>
      </c>
      <c r="C357" s="8" t="e">
        <f>Etat_des_stocks!G357*Base_de_donnee_articles!D357</f>
        <v>#VALUE!</v>
      </c>
      <c r="D357" s="26" t="e">
        <f>Etat_des_stocks!F357*Base_de_donnee_articles!D357</f>
        <v>#VALUE!</v>
      </c>
      <c r="E357" s="4" t="str">
        <f>IF(Base_de_donnee_articles!E357="","",Base_de_donnee_articles!E357)</f>
        <v/>
      </c>
    </row>
    <row r="358" spans="2:5" x14ac:dyDescent="0.35">
      <c r="B358" s="4" t="str">
        <f>IF(Base_de_donnee_articles!B358="","",Base_de_donnee_articles!B358)</f>
        <v/>
      </c>
      <c r="C358" s="8" t="e">
        <f>Etat_des_stocks!G358*Base_de_donnee_articles!D358</f>
        <v>#VALUE!</v>
      </c>
      <c r="D358" s="26" t="e">
        <f>Etat_des_stocks!F358*Base_de_donnee_articles!D358</f>
        <v>#VALUE!</v>
      </c>
      <c r="E358" s="4" t="str">
        <f>IF(Base_de_donnee_articles!E358="","",Base_de_donnee_articles!E358)</f>
        <v/>
      </c>
    </row>
    <row r="359" spans="2:5" x14ac:dyDescent="0.35">
      <c r="B359" s="4" t="str">
        <f>IF(Base_de_donnee_articles!B359="","",Base_de_donnee_articles!B359)</f>
        <v/>
      </c>
      <c r="C359" s="8" t="e">
        <f>Etat_des_stocks!G359*Base_de_donnee_articles!D359</f>
        <v>#VALUE!</v>
      </c>
      <c r="D359" s="26" t="e">
        <f>Etat_des_stocks!F359*Base_de_donnee_articles!D359</f>
        <v>#VALUE!</v>
      </c>
      <c r="E359" s="4" t="str">
        <f>IF(Base_de_donnee_articles!E359="","",Base_de_donnee_articles!E359)</f>
        <v/>
      </c>
    </row>
    <row r="360" spans="2:5" x14ac:dyDescent="0.35">
      <c r="B360" s="4" t="str">
        <f>IF(Base_de_donnee_articles!B360="","",Base_de_donnee_articles!B360)</f>
        <v/>
      </c>
      <c r="C360" s="8" t="e">
        <f>Etat_des_stocks!G360*Base_de_donnee_articles!D360</f>
        <v>#VALUE!</v>
      </c>
      <c r="D360" s="26" t="e">
        <f>Etat_des_stocks!F360*Base_de_donnee_articles!D360</f>
        <v>#VALUE!</v>
      </c>
      <c r="E360" s="4" t="str">
        <f>IF(Base_de_donnee_articles!E360="","",Base_de_donnee_articles!E360)</f>
        <v/>
      </c>
    </row>
    <row r="361" spans="2:5" x14ac:dyDescent="0.35">
      <c r="B361" s="4" t="str">
        <f>IF(Base_de_donnee_articles!B361="","",Base_de_donnee_articles!B361)</f>
        <v/>
      </c>
      <c r="C361" s="8" t="e">
        <f>Etat_des_stocks!G361*Base_de_donnee_articles!D361</f>
        <v>#VALUE!</v>
      </c>
      <c r="D361" s="26" t="e">
        <f>Etat_des_stocks!F361*Base_de_donnee_articles!D361</f>
        <v>#VALUE!</v>
      </c>
      <c r="E361" s="4" t="str">
        <f>IF(Base_de_donnee_articles!E361="","",Base_de_donnee_articles!E361)</f>
        <v/>
      </c>
    </row>
    <row r="362" spans="2:5" x14ac:dyDescent="0.35">
      <c r="B362" s="4" t="str">
        <f>IF(Base_de_donnee_articles!B362="","",Base_de_donnee_articles!B362)</f>
        <v/>
      </c>
      <c r="C362" s="8" t="e">
        <f>Etat_des_stocks!G362*Base_de_donnee_articles!D362</f>
        <v>#VALUE!</v>
      </c>
      <c r="D362" s="26" t="e">
        <f>Etat_des_stocks!F362*Base_de_donnee_articles!D362</f>
        <v>#VALUE!</v>
      </c>
      <c r="E362" s="4" t="str">
        <f>IF(Base_de_donnee_articles!E362="","",Base_de_donnee_articles!E362)</f>
        <v/>
      </c>
    </row>
    <row r="363" spans="2:5" x14ac:dyDescent="0.35">
      <c r="B363" s="4" t="str">
        <f>IF(Base_de_donnee_articles!B363="","",Base_de_donnee_articles!B363)</f>
        <v/>
      </c>
      <c r="C363" s="8" t="e">
        <f>Etat_des_stocks!G363*Base_de_donnee_articles!D363</f>
        <v>#VALUE!</v>
      </c>
      <c r="D363" s="26" t="e">
        <f>Etat_des_stocks!F363*Base_de_donnee_articles!D363</f>
        <v>#VALUE!</v>
      </c>
      <c r="E363" s="4" t="str">
        <f>IF(Base_de_donnee_articles!E363="","",Base_de_donnee_articles!E363)</f>
        <v/>
      </c>
    </row>
    <row r="364" spans="2:5" x14ac:dyDescent="0.35">
      <c r="B364" s="4" t="str">
        <f>IF(Base_de_donnee_articles!B364="","",Base_de_donnee_articles!B364)</f>
        <v/>
      </c>
      <c r="C364" s="8" t="e">
        <f>Etat_des_stocks!G364*Base_de_donnee_articles!D364</f>
        <v>#VALUE!</v>
      </c>
      <c r="D364" s="26" t="e">
        <f>Etat_des_stocks!F364*Base_de_donnee_articles!D364</f>
        <v>#VALUE!</v>
      </c>
      <c r="E364" s="4" t="str">
        <f>IF(Base_de_donnee_articles!E364="","",Base_de_donnee_articles!E364)</f>
        <v/>
      </c>
    </row>
    <row r="365" spans="2:5" x14ac:dyDescent="0.35">
      <c r="B365" s="4" t="str">
        <f>IF(Base_de_donnee_articles!B365="","",Base_de_donnee_articles!B365)</f>
        <v/>
      </c>
      <c r="C365" s="8" t="e">
        <f>Etat_des_stocks!G365*Base_de_donnee_articles!D365</f>
        <v>#VALUE!</v>
      </c>
      <c r="D365" s="26" t="e">
        <f>Etat_des_stocks!F365*Base_de_donnee_articles!D365</f>
        <v>#VALUE!</v>
      </c>
      <c r="E365" s="4" t="str">
        <f>IF(Base_de_donnee_articles!E365="","",Base_de_donnee_articles!E365)</f>
        <v/>
      </c>
    </row>
    <row r="366" spans="2:5" x14ac:dyDescent="0.35">
      <c r="B366" s="4" t="str">
        <f>IF(Base_de_donnee_articles!B366="","",Base_de_donnee_articles!B366)</f>
        <v/>
      </c>
      <c r="C366" s="8" t="e">
        <f>Etat_des_stocks!G366*Base_de_donnee_articles!D366</f>
        <v>#VALUE!</v>
      </c>
      <c r="D366" s="26" t="e">
        <f>Etat_des_stocks!F366*Base_de_donnee_articles!D366</f>
        <v>#VALUE!</v>
      </c>
      <c r="E366" s="4" t="str">
        <f>IF(Base_de_donnee_articles!E366="","",Base_de_donnee_articles!E366)</f>
        <v/>
      </c>
    </row>
    <row r="367" spans="2:5" x14ac:dyDescent="0.35">
      <c r="B367" s="4" t="str">
        <f>IF(Base_de_donnee_articles!B367="","",Base_de_donnee_articles!B367)</f>
        <v/>
      </c>
      <c r="C367" s="8" t="e">
        <f>Etat_des_stocks!G367*Base_de_donnee_articles!D367</f>
        <v>#VALUE!</v>
      </c>
      <c r="D367" s="26" t="e">
        <f>Etat_des_stocks!F367*Base_de_donnee_articles!D367</f>
        <v>#VALUE!</v>
      </c>
      <c r="E367" s="4" t="str">
        <f>IF(Base_de_donnee_articles!E367="","",Base_de_donnee_articles!E367)</f>
        <v/>
      </c>
    </row>
    <row r="368" spans="2:5" x14ac:dyDescent="0.35">
      <c r="B368" s="4" t="str">
        <f>IF(Base_de_donnee_articles!B368="","",Base_de_donnee_articles!B368)</f>
        <v/>
      </c>
      <c r="C368" s="8" t="e">
        <f>Etat_des_stocks!G368*Base_de_donnee_articles!D368</f>
        <v>#VALUE!</v>
      </c>
      <c r="D368" s="26" t="e">
        <f>Etat_des_stocks!F368*Base_de_donnee_articles!D368</f>
        <v>#VALUE!</v>
      </c>
      <c r="E368" s="4" t="str">
        <f>IF(Base_de_donnee_articles!E368="","",Base_de_donnee_articles!E368)</f>
        <v/>
      </c>
    </row>
    <row r="369" spans="2:5" x14ac:dyDescent="0.35">
      <c r="B369" s="4" t="str">
        <f>IF(Base_de_donnee_articles!B369="","",Base_de_donnee_articles!B369)</f>
        <v/>
      </c>
      <c r="C369" s="8" t="e">
        <f>Etat_des_stocks!G369*Base_de_donnee_articles!D369</f>
        <v>#VALUE!</v>
      </c>
      <c r="D369" s="26" t="e">
        <f>Etat_des_stocks!F369*Base_de_donnee_articles!D369</f>
        <v>#VALUE!</v>
      </c>
      <c r="E369" s="4" t="str">
        <f>IF(Base_de_donnee_articles!E369="","",Base_de_donnee_articles!E369)</f>
        <v/>
      </c>
    </row>
    <row r="370" spans="2:5" x14ac:dyDescent="0.35">
      <c r="B370" s="4" t="str">
        <f>IF(Base_de_donnee_articles!B370="","",Base_de_donnee_articles!B370)</f>
        <v/>
      </c>
      <c r="C370" s="8" t="e">
        <f>Etat_des_stocks!G370*Base_de_donnee_articles!D370</f>
        <v>#VALUE!</v>
      </c>
      <c r="D370" s="26" t="e">
        <f>Etat_des_stocks!F370*Base_de_donnee_articles!D370</f>
        <v>#VALUE!</v>
      </c>
      <c r="E370" s="4" t="str">
        <f>IF(Base_de_donnee_articles!E370="","",Base_de_donnee_articles!E370)</f>
        <v/>
      </c>
    </row>
    <row r="371" spans="2:5" x14ac:dyDescent="0.35">
      <c r="B371" s="4" t="str">
        <f>IF(Base_de_donnee_articles!B371="","",Base_de_donnee_articles!B371)</f>
        <v/>
      </c>
      <c r="C371" s="8" t="e">
        <f>Etat_des_stocks!G371*Base_de_donnee_articles!D371</f>
        <v>#VALUE!</v>
      </c>
      <c r="D371" s="26" t="e">
        <f>Etat_des_stocks!F371*Base_de_donnee_articles!D371</f>
        <v>#VALUE!</v>
      </c>
      <c r="E371" s="4" t="str">
        <f>IF(Base_de_donnee_articles!E371="","",Base_de_donnee_articles!E371)</f>
        <v/>
      </c>
    </row>
    <row r="372" spans="2:5" x14ac:dyDescent="0.35">
      <c r="B372" s="4" t="str">
        <f>IF(Base_de_donnee_articles!B372="","",Base_de_donnee_articles!B372)</f>
        <v/>
      </c>
      <c r="C372" s="8" t="e">
        <f>Etat_des_stocks!G372*Base_de_donnee_articles!D372</f>
        <v>#VALUE!</v>
      </c>
      <c r="D372" s="26" t="e">
        <f>Etat_des_stocks!F372*Base_de_donnee_articles!D372</f>
        <v>#VALUE!</v>
      </c>
      <c r="E372" s="4" t="str">
        <f>IF(Base_de_donnee_articles!E372="","",Base_de_donnee_articles!E372)</f>
        <v/>
      </c>
    </row>
    <row r="373" spans="2:5" x14ac:dyDescent="0.35">
      <c r="B373" s="4" t="str">
        <f>IF(Base_de_donnee_articles!B373="","",Base_de_donnee_articles!B373)</f>
        <v/>
      </c>
      <c r="C373" s="8" t="e">
        <f>Etat_des_stocks!G373*Base_de_donnee_articles!D373</f>
        <v>#VALUE!</v>
      </c>
      <c r="D373" s="26" t="e">
        <f>Etat_des_stocks!F373*Base_de_donnee_articles!D373</f>
        <v>#VALUE!</v>
      </c>
      <c r="E373" s="4" t="str">
        <f>IF(Base_de_donnee_articles!E373="","",Base_de_donnee_articles!E373)</f>
        <v/>
      </c>
    </row>
    <row r="374" spans="2:5" x14ac:dyDescent="0.35">
      <c r="B374" s="4" t="str">
        <f>IF(Base_de_donnee_articles!B374="","",Base_de_donnee_articles!B374)</f>
        <v/>
      </c>
      <c r="C374" s="8" t="e">
        <f>Etat_des_stocks!G374*Base_de_donnee_articles!D374</f>
        <v>#VALUE!</v>
      </c>
      <c r="D374" s="26" t="e">
        <f>Etat_des_stocks!F374*Base_de_donnee_articles!D374</f>
        <v>#VALUE!</v>
      </c>
      <c r="E374" s="4" t="str">
        <f>IF(Base_de_donnee_articles!E374="","",Base_de_donnee_articles!E374)</f>
        <v/>
      </c>
    </row>
    <row r="375" spans="2:5" x14ac:dyDescent="0.35">
      <c r="B375" s="4" t="str">
        <f>IF(Base_de_donnee_articles!B375="","",Base_de_donnee_articles!B375)</f>
        <v/>
      </c>
      <c r="C375" s="8" t="e">
        <f>Etat_des_stocks!G375*Base_de_donnee_articles!D375</f>
        <v>#VALUE!</v>
      </c>
      <c r="D375" s="26" t="e">
        <f>Etat_des_stocks!F375*Base_de_donnee_articles!D375</f>
        <v>#VALUE!</v>
      </c>
      <c r="E375" s="4" t="str">
        <f>IF(Base_de_donnee_articles!E375="","",Base_de_donnee_articles!E375)</f>
        <v/>
      </c>
    </row>
    <row r="376" spans="2:5" x14ac:dyDescent="0.35">
      <c r="B376" s="4" t="str">
        <f>IF(Base_de_donnee_articles!B376="","",Base_de_donnee_articles!B376)</f>
        <v/>
      </c>
      <c r="C376" s="8" t="e">
        <f>Etat_des_stocks!G376*Base_de_donnee_articles!D376</f>
        <v>#VALUE!</v>
      </c>
      <c r="D376" s="26" t="e">
        <f>Etat_des_stocks!F376*Base_de_donnee_articles!D376</f>
        <v>#VALUE!</v>
      </c>
      <c r="E376" s="4" t="str">
        <f>IF(Base_de_donnee_articles!E376="","",Base_de_donnee_articles!E376)</f>
        <v/>
      </c>
    </row>
    <row r="377" spans="2:5" x14ac:dyDescent="0.35">
      <c r="B377" s="4" t="str">
        <f>IF(Base_de_donnee_articles!B377="","",Base_de_donnee_articles!B377)</f>
        <v/>
      </c>
      <c r="C377" s="8" t="e">
        <f>Etat_des_stocks!G377*Base_de_donnee_articles!D377</f>
        <v>#VALUE!</v>
      </c>
      <c r="D377" s="26" t="e">
        <f>Etat_des_stocks!F377*Base_de_donnee_articles!D377</f>
        <v>#VALUE!</v>
      </c>
      <c r="E377" s="4" t="str">
        <f>IF(Base_de_donnee_articles!E377="","",Base_de_donnee_articles!E377)</f>
        <v/>
      </c>
    </row>
    <row r="378" spans="2:5" x14ac:dyDescent="0.35">
      <c r="B378" s="4" t="str">
        <f>IF(Base_de_donnee_articles!B378="","",Base_de_donnee_articles!B378)</f>
        <v/>
      </c>
      <c r="C378" s="8" t="e">
        <f>Etat_des_stocks!G378*Base_de_donnee_articles!D378</f>
        <v>#VALUE!</v>
      </c>
      <c r="D378" s="26" t="e">
        <f>Etat_des_stocks!F378*Base_de_donnee_articles!D378</f>
        <v>#VALUE!</v>
      </c>
      <c r="E378" s="4" t="str">
        <f>IF(Base_de_donnee_articles!E378="","",Base_de_donnee_articles!E378)</f>
        <v/>
      </c>
    </row>
    <row r="379" spans="2:5" x14ac:dyDescent="0.35">
      <c r="B379" s="4" t="str">
        <f>IF(Base_de_donnee_articles!B379="","",Base_de_donnee_articles!B379)</f>
        <v/>
      </c>
      <c r="C379" s="8" t="e">
        <f>Etat_des_stocks!G379*Base_de_donnee_articles!D379</f>
        <v>#VALUE!</v>
      </c>
      <c r="D379" s="26" t="e">
        <f>Etat_des_stocks!F379*Base_de_donnee_articles!D379</f>
        <v>#VALUE!</v>
      </c>
      <c r="E379" s="4" t="str">
        <f>IF(Base_de_donnee_articles!E379="","",Base_de_donnee_articles!E379)</f>
        <v/>
      </c>
    </row>
    <row r="380" spans="2:5" x14ac:dyDescent="0.35">
      <c r="B380" s="4" t="str">
        <f>IF(Base_de_donnee_articles!B380="","",Base_de_donnee_articles!B380)</f>
        <v/>
      </c>
      <c r="C380" s="8" t="e">
        <f>Etat_des_stocks!G380*Base_de_donnee_articles!D380</f>
        <v>#VALUE!</v>
      </c>
      <c r="D380" s="26" t="e">
        <f>Etat_des_stocks!F380*Base_de_donnee_articles!D380</f>
        <v>#VALUE!</v>
      </c>
      <c r="E380" s="4" t="str">
        <f>IF(Base_de_donnee_articles!E380="","",Base_de_donnee_articles!E380)</f>
        <v/>
      </c>
    </row>
    <row r="381" spans="2:5" x14ac:dyDescent="0.35">
      <c r="B381" s="4" t="str">
        <f>IF(Base_de_donnee_articles!B381="","",Base_de_donnee_articles!B381)</f>
        <v/>
      </c>
      <c r="C381" s="8" t="e">
        <f>Etat_des_stocks!G381*Base_de_donnee_articles!D381</f>
        <v>#VALUE!</v>
      </c>
      <c r="D381" s="26" t="e">
        <f>Etat_des_stocks!F381*Base_de_donnee_articles!D381</f>
        <v>#VALUE!</v>
      </c>
      <c r="E381" s="4" t="str">
        <f>IF(Base_de_donnee_articles!E381="","",Base_de_donnee_articles!E381)</f>
        <v/>
      </c>
    </row>
    <row r="382" spans="2:5" x14ac:dyDescent="0.35">
      <c r="B382" s="4" t="str">
        <f>IF(Base_de_donnee_articles!B382="","",Base_de_donnee_articles!B382)</f>
        <v/>
      </c>
      <c r="C382" s="8" t="e">
        <f>Etat_des_stocks!G382*Base_de_donnee_articles!D382</f>
        <v>#VALUE!</v>
      </c>
      <c r="D382" s="26" t="e">
        <f>Etat_des_stocks!F382*Base_de_donnee_articles!D382</f>
        <v>#VALUE!</v>
      </c>
      <c r="E382" s="4" t="str">
        <f>IF(Base_de_donnee_articles!E382="","",Base_de_donnee_articles!E382)</f>
        <v/>
      </c>
    </row>
    <row r="383" spans="2:5" x14ac:dyDescent="0.35">
      <c r="B383" s="4" t="str">
        <f>IF(Base_de_donnee_articles!B383="","",Base_de_donnee_articles!B383)</f>
        <v/>
      </c>
      <c r="C383" s="8" t="e">
        <f>Etat_des_stocks!G383*Base_de_donnee_articles!D383</f>
        <v>#VALUE!</v>
      </c>
      <c r="D383" s="26" t="e">
        <f>Etat_des_stocks!F383*Base_de_donnee_articles!D383</f>
        <v>#VALUE!</v>
      </c>
      <c r="E383" s="4" t="str">
        <f>IF(Base_de_donnee_articles!E383="","",Base_de_donnee_articles!E383)</f>
        <v/>
      </c>
    </row>
    <row r="384" spans="2:5" x14ac:dyDescent="0.35">
      <c r="B384" s="4" t="str">
        <f>IF(Base_de_donnee_articles!B384="","",Base_de_donnee_articles!B384)</f>
        <v/>
      </c>
      <c r="C384" s="8" t="e">
        <f>Etat_des_stocks!G384*Base_de_donnee_articles!D384</f>
        <v>#VALUE!</v>
      </c>
      <c r="D384" s="26" t="e">
        <f>Etat_des_stocks!F384*Base_de_donnee_articles!D384</f>
        <v>#VALUE!</v>
      </c>
      <c r="E384" s="4" t="str">
        <f>IF(Base_de_donnee_articles!E384="","",Base_de_donnee_articles!E384)</f>
        <v/>
      </c>
    </row>
    <row r="385" spans="2:5" x14ac:dyDescent="0.35">
      <c r="B385" s="4" t="str">
        <f>IF(Base_de_donnee_articles!B385="","",Base_de_donnee_articles!B385)</f>
        <v/>
      </c>
      <c r="C385" s="8" t="e">
        <f>Etat_des_stocks!G385*Base_de_donnee_articles!D385</f>
        <v>#VALUE!</v>
      </c>
      <c r="D385" s="26" t="e">
        <f>Etat_des_stocks!F385*Base_de_donnee_articles!D385</f>
        <v>#VALUE!</v>
      </c>
      <c r="E385" s="4" t="str">
        <f>IF(Base_de_donnee_articles!E385="","",Base_de_donnee_articles!E385)</f>
        <v/>
      </c>
    </row>
    <row r="386" spans="2:5" x14ac:dyDescent="0.35">
      <c r="B386" s="4" t="str">
        <f>IF(Base_de_donnee_articles!B386="","",Base_de_donnee_articles!B386)</f>
        <v/>
      </c>
      <c r="C386" s="8" t="e">
        <f>Etat_des_stocks!G386*Base_de_donnee_articles!D386</f>
        <v>#VALUE!</v>
      </c>
      <c r="D386" s="26" t="e">
        <f>Etat_des_stocks!F386*Base_de_donnee_articles!D386</f>
        <v>#VALUE!</v>
      </c>
      <c r="E386" s="4" t="str">
        <f>IF(Base_de_donnee_articles!E386="","",Base_de_donnee_articles!E386)</f>
        <v/>
      </c>
    </row>
    <row r="387" spans="2:5" x14ac:dyDescent="0.35">
      <c r="B387" s="4" t="str">
        <f>IF(Base_de_donnee_articles!B387="","",Base_de_donnee_articles!B387)</f>
        <v/>
      </c>
      <c r="C387" s="8" t="e">
        <f>Etat_des_stocks!G387*Base_de_donnee_articles!D387</f>
        <v>#VALUE!</v>
      </c>
      <c r="D387" s="26" t="e">
        <f>Etat_des_stocks!F387*Base_de_donnee_articles!D387</f>
        <v>#VALUE!</v>
      </c>
      <c r="E387" s="4" t="str">
        <f>IF(Base_de_donnee_articles!E387="","",Base_de_donnee_articles!E387)</f>
        <v/>
      </c>
    </row>
    <row r="388" spans="2:5" x14ac:dyDescent="0.35">
      <c r="B388" s="4" t="str">
        <f>IF(Base_de_donnee_articles!B388="","",Base_de_donnee_articles!B388)</f>
        <v/>
      </c>
      <c r="C388" s="8" t="e">
        <f>Etat_des_stocks!G388*Base_de_donnee_articles!D388</f>
        <v>#VALUE!</v>
      </c>
      <c r="D388" s="26" t="e">
        <f>Etat_des_stocks!F388*Base_de_donnee_articles!D388</f>
        <v>#VALUE!</v>
      </c>
      <c r="E388" s="4" t="str">
        <f>IF(Base_de_donnee_articles!E388="","",Base_de_donnee_articles!E388)</f>
        <v/>
      </c>
    </row>
    <row r="389" spans="2:5" x14ac:dyDescent="0.35">
      <c r="B389" s="4" t="str">
        <f>IF(Base_de_donnee_articles!B389="","",Base_de_donnee_articles!B389)</f>
        <v/>
      </c>
      <c r="C389" s="8" t="e">
        <f>Etat_des_stocks!G389*Base_de_donnee_articles!D389</f>
        <v>#VALUE!</v>
      </c>
      <c r="D389" s="26" t="e">
        <f>Etat_des_stocks!F389*Base_de_donnee_articles!D389</f>
        <v>#VALUE!</v>
      </c>
      <c r="E389" s="4" t="str">
        <f>IF(Base_de_donnee_articles!E389="","",Base_de_donnee_articles!E389)</f>
        <v/>
      </c>
    </row>
    <row r="390" spans="2:5" x14ac:dyDescent="0.35">
      <c r="B390" s="4" t="str">
        <f>IF(Base_de_donnee_articles!B390="","",Base_de_donnee_articles!B390)</f>
        <v/>
      </c>
      <c r="C390" s="8" t="e">
        <f>Etat_des_stocks!G390*Base_de_donnee_articles!D390</f>
        <v>#VALUE!</v>
      </c>
      <c r="D390" s="26" t="e">
        <f>Etat_des_stocks!F390*Base_de_donnee_articles!D390</f>
        <v>#VALUE!</v>
      </c>
      <c r="E390" s="4" t="str">
        <f>IF(Base_de_donnee_articles!E390="","",Base_de_donnee_articles!E390)</f>
        <v/>
      </c>
    </row>
    <row r="391" spans="2:5" x14ac:dyDescent="0.35">
      <c r="B391" s="4" t="str">
        <f>IF(Base_de_donnee_articles!B391="","",Base_de_donnee_articles!B391)</f>
        <v/>
      </c>
      <c r="C391" s="8" t="e">
        <f>Etat_des_stocks!G391*Base_de_donnee_articles!D391</f>
        <v>#VALUE!</v>
      </c>
      <c r="D391" s="26" t="e">
        <f>Etat_des_stocks!F391*Base_de_donnee_articles!D391</f>
        <v>#VALUE!</v>
      </c>
      <c r="E391" s="4" t="str">
        <f>IF(Base_de_donnee_articles!E391="","",Base_de_donnee_articles!E391)</f>
        <v/>
      </c>
    </row>
    <row r="392" spans="2:5" x14ac:dyDescent="0.35">
      <c r="B392" s="4" t="str">
        <f>IF(Base_de_donnee_articles!B392="","",Base_de_donnee_articles!B392)</f>
        <v/>
      </c>
      <c r="C392" s="8" t="e">
        <f>Etat_des_stocks!G392*Base_de_donnee_articles!D392</f>
        <v>#VALUE!</v>
      </c>
      <c r="D392" s="26" t="e">
        <f>Etat_des_stocks!F392*Base_de_donnee_articles!D392</f>
        <v>#VALUE!</v>
      </c>
      <c r="E392" s="4" t="str">
        <f>IF(Base_de_donnee_articles!E392="","",Base_de_donnee_articles!E392)</f>
        <v/>
      </c>
    </row>
    <row r="393" spans="2:5" x14ac:dyDescent="0.35">
      <c r="B393" s="4" t="str">
        <f>IF(Base_de_donnee_articles!B393="","",Base_de_donnee_articles!B393)</f>
        <v/>
      </c>
      <c r="C393" s="8" t="e">
        <f>Etat_des_stocks!G393*Base_de_donnee_articles!D393</f>
        <v>#VALUE!</v>
      </c>
      <c r="D393" s="26" t="e">
        <f>Etat_des_stocks!F393*Base_de_donnee_articles!D393</f>
        <v>#VALUE!</v>
      </c>
      <c r="E393" s="4" t="str">
        <f>IF(Base_de_donnee_articles!E393="","",Base_de_donnee_articles!E393)</f>
        <v/>
      </c>
    </row>
    <row r="394" spans="2:5" x14ac:dyDescent="0.35">
      <c r="B394" s="4" t="str">
        <f>IF(Base_de_donnee_articles!B394="","",Base_de_donnee_articles!B394)</f>
        <v/>
      </c>
      <c r="C394" s="8" t="e">
        <f>Etat_des_stocks!G394*Base_de_donnee_articles!D394</f>
        <v>#VALUE!</v>
      </c>
      <c r="D394" s="26" t="e">
        <f>Etat_des_stocks!F394*Base_de_donnee_articles!D394</f>
        <v>#VALUE!</v>
      </c>
      <c r="E394" s="4" t="str">
        <f>IF(Base_de_donnee_articles!E394="","",Base_de_donnee_articles!E394)</f>
        <v/>
      </c>
    </row>
    <row r="395" spans="2:5" x14ac:dyDescent="0.35">
      <c r="B395" s="4" t="str">
        <f>IF(Base_de_donnee_articles!B395="","",Base_de_donnee_articles!B395)</f>
        <v/>
      </c>
      <c r="C395" s="8" t="e">
        <f>Etat_des_stocks!G395*Base_de_donnee_articles!D395</f>
        <v>#VALUE!</v>
      </c>
      <c r="D395" s="26" t="e">
        <f>Etat_des_stocks!F395*Base_de_donnee_articles!D395</f>
        <v>#VALUE!</v>
      </c>
      <c r="E395" s="4" t="str">
        <f>IF(Base_de_donnee_articles!E395="","",Base_de_donnee_articles!E395)</f>
        <v/>
      </c>
    </row>
    <row r="396" spans="2:5" x14ac:dyDescent="0.35">
      <c r="B396" s="4" t="str">
        <f>IF(Base_de_donnee_articles!B396="","",Base_de_donnee_articles!B396)</f>
        <v/>
      </c>
      <c r="C396" s="8" t="e">
        <f>Etat_des_stocks!G396*Base_de_donnee_articles!D396</f>
        <v>#VALUE!</v>
      </c>
      <c r="D396" s="26" t="e">
        <f>Etat_des_stocks!F396*Base_de_donnee_articles!D396</f>
        <v>#VALUE!</v>
      </c>
      <c r="E396" s="4" t="str">
        <f>IF(Base_de_donnee_articles!E396="","",Base_de_donnee_articles!E396)</f>
        <v/>
      </c>
    </row>
    <row r="397" spans="2:5" x14ac:dyDescent="0.35">
      <c r="B397" s="4" t="str">
        <f>IF(Base_de_donnee_articles!B397="","",Base_de_donnee_articles!B397)</f>
        <v/>
      </c>
      <c r="C397" s="8" t="e">
        <f>Etat_des_stocks!G397*Base_de_donnee_articles!D397</f>
        <v>#VALUE!</v>
      </c>
      <c r="D397" s="26" t="e">
        <f>Etat_des_stocks!F397*Base_de_donnee_articles!D397</f>
        <v>#VALUE!</v>
      </c>
      <c r="E397" s="4" t="str">
        <f>IF(Base_de_donnee_articles!E397="","",Base_de_donnee_articles!E397)</f>
        <v/>
      </c>
    </row>
    <row r="398" spans="2:5" x14ac:dyDescent="0.35">
      <c r="B398" s="4" t="str">
        <f>IF(Base_de_donnee_articles!B398="","",Base_de_donnee_articles!B398)</f>
        <v/>
      </c>
      <c r="C398" s="8" t="e">
        <f>Etat_des_stocks!G398*Base_de_donnee_articles!D398</f>
        <v>#VALUE!</v>
      </c>
      <c r="D398" s="26" t="e">
        <f>Etat_des_stocks!F398*Base_de_donnee_articles!D398</f>
        <v>#VALUE!</v>
      </c>
      <c r="E398" s="4" t="str">
        <f>IF(Base_de_donnee_articles!E398="","",Base_de_donnee_articles!E398)</f>
        <v/>
      </c>
    </row>
    <row r="399" spans="2:5" x14ac:dyDescent="0.35">
      <c r="B399" s="4" t="str">
        <f>IF(Base_de_donnee_articles!B399="","",Base_de_donnee_articles!B399)</f>
        <v/>
      </c>
      <c r="C399" s="8" t="e">
        <f>Etat_des_stocks!G399*Base_de_donnee_articles!D399</f>
        <v>#VALUE!</v>
      </c>
      <c r="D399" s="26" t="e">
        <f>Etat_des_stocks!F399*Base_de_donnee_articles!D399</f>
        <v>#VALUE!</v>
      </c>
      <c r="E399" s="4" t="str">
        <f>IF(Base_de_donnee_articles!E399="","",Base_de_donnee_articles!E399)</f>
        <v/>
      </c>
    </row>
    <row r="400" spans="2:5" x14ac:dyDescent="0.35">
      <c r="B400" s="4" t="str">
        <f>IF(Base_de_donnee_articles!B400="","",Base_de_donnee_articles!B400)</f>
        <v/>
      </c>
      <c r="C400" s="8" t="e">
        <f>Etat_des_stocks!G400*Base_de_donnee_articles!D400</f>
        <v>#VALUE!</v>
      </c>
      <c r="D400" s="26" t="e">
        <f>Etat_des_stocks!F400*Base_de_donnee_articles!D400</f>
        <v>#VALUE!</v>
      </c>
      <c r="E400" s="4" t="str">
        <f>IF(Base_de_donnee_articles!E400="","",Base_de_donnee_articles!E400)</f>
        <v/>
      </c>
    </row>
    <row r="401" spans="2:5" x14ac:dyDescent="0.35">
      <c r="B401" s="4" t="str">
        <f>IF(Base_de_donnee_articles!B401="","",Base_de_donnee_articles!B401)</f>
        <v/>
      </c>
      <c r="C401" s="8" t="e">
        <f>Etat_des_stocks!G401*Base_de_donnee_articles!D401</f>
        <v>#VALUE!</v>
      </c>
      <c r="D401" s="26" t="e">
        <f>Etat_des_stocks!F401*Base_de_donnee_articles!D401</f>
        <v>#VALUE!</v>
      </c>
      <c r="E401" s="4" t="str">
        <f>IF(Base_de_donnee_articles!E401="","",Base_de_donnee_articles!E401)</f>
        <v/>
      </c>
    </row>
    <row r="402" spans="2:5" x14ac:dyDescent="0.35">
      <c r="B402" s="4" t="str">
        <f>IF(Base_de_donnee_articles!B402="","",Base_de_donnee_articles!B402)</f>
        <v/>
      </c>
      <c r="C402" s="8" t="e">
        <f>Etat_des_stocks!G402*Base_de_donnee_articles!D402</f>
        <v>#VALUE!</v>
      </c>
      <c r="D402" s="26" t="e">
        <f>Etat_des_stocks!F402*Base_de_donnee_articles!D402</f>
        <v>#VALUE!</v>
      </c>
      <c r="E402" s="4" t="str">
        <f>IF(Base_de_donnee_articles!E402="","",Base_de_donnee_articles!E402)</f>
        <v/>
      </c>
    </row>
    <row r="403" spans="2:5" x14ac:dyDescent="0.35">
      <c r="B403" s="4" t="str">
        <f>IF(Base_de_donnee_articles!B403="","",Base_de_donnee_articles!B403)</f>
        <v/>
      </c>
      <c r="C403" s="8" t="e">
        <f>Etat_des_stocks!G403*Base_de_donnee_articles!D403</f>
        <v>#VALUE!</v>
      </c>
      <c r="D403" s="26" t="e">
        <f>Etat_des_stocks!F403*Base_de_donnee_articles!D403</f>
        <v>#VALUE!</v>
      </c>
      <c r="E403" s="4" t="str">
        <f>IF(Base_de_donnee_articles!E403="","",Base_de_donnee_articles!E403)</f>
        <v/>
      </c>
    </row>
    <row r="404" spans="2:5" x14ac:dyDescent="0.35">
      <c r="B404" s="4" t="str">
        <f>IF(Base_de_donnee_articles!B404="","",Base_de_donnee_articles!B404)</f>
        <v/>
      </c>
      <c r="C404" s="8" t="e">
        <f>Etat_des_stocks!G404*Base_de_donnee_articles!D404</f>
        <v>#VALUE!</v>
      </c>
      <c r="D404" s="26" t="e">
        <f>Etat_des_stocks!F404*Base_de_donnee_articles!D404</f>
        <v>#VALUE!</v>
      </c>
      <c r="E404" s="4" t="str">
        <f>IF(Base_de_donnee_articles!E404="","",Base_de_donnee_articles!E404)</f>
        <v/>
      </c>
    </row>
    <row r="405" spans="2:5" x14ac:dyDescent="0.35">
      <c r="B405" s="4" t="str">
        <f>IF(Base_de_donnee_articles!B405="","",Base_de_donnee_articles!B405)</f>
        <v/>
      </c>
      <c r="C405" s="8" t="e">
        <f>Etat_des_stocks!G405*Base_de_donnee_articles!D405</f>
        <v>#VALUE!</v>
      </c>
      <c r="D405" s="26" t="e">
        <f>Etat_des_stocks!F405*Base_de_donnee_articles!D405</f>
        <v>#VALUE!</v>
      </c>
      <c r="E405" s="4" t="str">
        <f>IF(Base_de_donnee_articles!E405="","",Base_de_donnee_articles!E405)</f>
        <v/>
      </c>
    </row>
    <row r="406" spans="2:5" x14ac:dyDescent="0.35">
      <c r="B406" s="4" t="str">
        <f>IF(Base_de_donnee_articles!B406="","",Base_de_donnee_articles!B406)</f>
        <v/>
      </c>
      <c r="C406" s="8" t="e">
        <f>Etat_des_stocks!G406*Base_de_donnee_articles!D406</f>
        <v>#VALUE!</v>
      </c>
      <c r="D406" s="26" t="e">
        <f>Etat_des_stocks!F406*Base_de_donnee_articles!D406</f>
        <v>#VALUE!</v>
      </c>
      <c r="E406" s="4" t="str">
        <f>IF(Base_de_donnee_articles!E406="","",Base_de_donnee_articles!E406)</f>
        <v/>
      </c>
    </row>
    <row r="407" spans="2:5" x14ac:dyDescent="0.35">
      <c r="B407" s="4" t="str">
        <f>IF(Base_de_donnee_articles!B407="","",Base_de_donnee_articles!B407)</f>
        <v/>
      </c>
      <c r="C407" s="8" t="e">
        <f>Etat_des_stocks!G407*Base_de_donnee_articles!D407</f>
        <v>#VALUE!</v>
      </c>
      <c r="D407" s="26" t="e">
        <f>Etat_des_stocks!F407*Base_de_donnee_articles!D407</f>
        <v>#VALUE!</v>
      </c>
      <c r="E407" s="4" t="str">
        <f>IF(Base_de_donnee_articles!E407="","",Base_de_donnee_articles!E407)</f>
        <v/>
      </c>
    </row>
    <row r="408" spans="2:5" x14ac:dyDescent="0.35">
      <c r="B408" s="4" t="str">
        <f>IF(Base_de_donnee_articles!B408="","",Base_de_donnee_articles!B408)</f>
        <v/>
      </c>
      <c r="C408" s="8" t="e">
        <f>Etat_des_stocks!G408*Base_de_donnee_articles!D408</f>
        <v>#VALUE!</v>
      </c>
      <c r="D408" s="26" t="e">
        <f>Etat_des_stocks!F408*Base_de_donnee_articles!D408</f>
        <v>#VALUE!</v>
      </c>
      <c r="E408" s="4" t="str">
        <f>IF(Base_de_donnee_articles!E408="","",Base_de_donnee_articles!E408)</f>
        <v/>
      </c>
    </row>
    <row r="409" spans="2:5" x14ac:dyDescent="0.35">
      <c r="B409" s="4" t="str">
        <f>IF(Base_de_donnee_articles!B409="","",Base_de_donnee_articles!B409)</f>
        <v/>
      </c>
      <c r="C409" s="8" t="e">
        <f>Etat_des_stocks!G409*Base_de_donnee_articles!D409</f>
        <v>#VALUE!</v>
      </c>
      <c r="D409" s="26" t="e">
        <f>Etat_des_stocks!F409*Base_de_donnee_articles!D409</f>
        <v>#VALUE!</v>
      </c>
      <c r="E409" s="4" t="str">
        <f>IF(Base_de_donnee_articles!E409="","",Base_de_donnee_articles!E409)</f>
        <v/>
      </c>
    </row>
    <row r="410" spans="2:5" x14ac:dyDescent="0.35">
      <c r="B410" s="4" t="str">
        <f>IF(Base_de_donnee_articles!B410="","",Base_de_donnee_articles!B410)</f>
        <v/>
      </c>
      <c r="C410" s="8" t="e">
        <f>Etat_des_stocks!G410*Base_de_donnee_articles!D410</f>
        <v>#VALUE!</v>
      </c>
      <c r="D410" s="26" t="e">
        <f>Etat_des_stocks!F410*Base_de_donnee_articles!D410</f>
        <v>#VALUE!</v>
      </c>
      <c r="E410" s="4" t="str">
        <f>IF(Base_de_donnee_articles!E410="","",Base_de_donnee_articles!E410)</f>
        <v/>
      </c>
    </row>
    <row r="411" spans="2:5" x14ac:dyDescent="0.35">
      <c r="B411" s="4" t="str">
        <f>IF(Base_de_donnee_articles!B411="","",Base_de_donnee_articles!B411)</f>
        <v/>
      </c>
      <c r="C411" s="8" t="e">
        <f>Etat_des_stocks!G411*Base_de_donnee_articles!D411</f>
        <v>#VALUE!</v>
      </c>
      <c r="D411" s="26" t="e">
        <f>Etat_des_stocks!F411*Base_de_donnee_articles!D411</f>
        <v>#VALUE!</v>
      </c>
      <c r="E411" s="4" t="str">
        <f>IF(Base_de_donnee_articles!E411="","",Base_de_donnee_articles!E411)</f>
        <v/>
      </c>
    </row>
    <row r="412" spans="2:5" x14ac:dyDescent="0.35">
      <c r="B412" s="4" t="str">
        <f>IF(Base_de_donnee_articles!B412="","",Base_de_donnee_articles!B412)</f>
        <v/>
      </c>
      <c r="C412" s="8" t="e">
        <f>Etat_des_stocks!G412*Base_de_donnee_articles!D412</f>
        <v>#VALUE!</v>
      </c>
      <c r="D412" s="26" t="e">
        <f>Etat_des_stocks!F412*Base_de_donnee_articles!D412</f>
        <v>#VALUE!</v>
      </c>
      <c r="E412" s="4" t="str">
        <f>IF(Base_de_donnee_articles!E412="","",Base_de_donnee_articles!E412)</f>
        <v/>
      </c>
    </row>
    <row r="413" spans="2:5" x14ac:dyDescent="0.35">
      <c r="B413" s="4" t="str">
        <f>IF(Base_de_donnee_articles!B413="","",Base_de_donnee_articles!B413)</f>
        <v/>
      </c>
      <c r="C413" s="8" t="e">
        <f>Etat_des_stocks!G413*Base_de_donnee_articles!D413</f>
        <v>#VALUE!</v>
      </c>
      <c r="D413" s="26" t="e">
        <f>Etat_des_stocks!F413*Base_de_donnee_articles!D413</f>
        <v>#VALUE!</v>
      </c>
      <c r="E413" s="4" t="str">
        <f>IF(Base_de_donnee_articles!E413="","",Base_de_donnee_articles!E413)</f>
        <v/>
      </c>
    </row>
    <row r="414" spans="2:5" x14ac:dyDescent="0.35">
      <c r="B414" s="4" t="str">
        <f>IF(Base_de_donnee_articles!B414="","",Base_de_donnee_articles!B414)</f>
        <v/>
      </c>
      <c r="C414" s="8" t="e">
        <f>Etat_des_stocks!G414*Base_de_donnee_articles!D414</f>
        <v>#VALUE!</v>
      </c>
      <c r="D414" s="26" t="e">
        <f>Etat_des_stocks!F414*Base_de_donnee_articles!D414</f>
        <v>#VALUE!</v>
      </c>
      <c r="E414" s="4" t="str">
        <f>IF(Base_de_donnee_articles!E414="","",Base_de_donnee_articles!E414)</f>
        <v/>
      </c>
    </row>
    <row r="415" spans="2:5" x14ac:dyDescent="0.35">
      <c r="B415" s="4" t="str">
        <f>IF(Base_de_donnee_articles!B415="","",Base_de_donnee_articles!B415)</f>
        <v/>
      </c>
      <c r="C415" s="8" t="e">
        <f>Etat_des_stocks!G415*Base_de_donnee_articles!D415</f>
        <v>#VALUE!</v>
      </c>
      <c r="D415" s="26" t="e">
        <f>Etat_des_stocks!F415*Base_de_donnee_articles!D415</f>
        <v>#VALUE!</v>
      </c>
      <c r="E415" s="4" t="str">
        <f>IF(Base_de_donnee_articles!E415="","",Base_de_donnee_articles!E415)</f>
        <v/>
      </c>
    </row>
    <row r="416" spans="2:5" x14ac:dyDescent="0.35">
      <c r="B416" s="4" t="str">
        <f>IF(Base_de_donnee_articles!B416="","",Base_de_donnee_articles!B416)</f>
        <v/>
      </c>
      <c r="C416" s="8" t="e">
        <f>Etat_des_stocks!G416*Base_de_donnee_articles!D416</f>
        <v>#VALUE!</v>
      </c>
      <c r="D416" s="26" t="e">
        <f>Etat_des_stocks!F416*Base_de_donnee_articles!D416</f>
        <v>#VALUE!</v>
      </c>
      <c r="E416" s="4" t="str">
        <f>IF(Base_de_donnee_articles!E416="","",Base_de_donnee_articles!E416)</f>
        <v/>
      </c>
    </row>
    <row r="417" spans="2:5" x14ac:dyDescent="0.35">
      <c r="B417" s="4" t="str">
        <f>IF(Base_de_donnee_articles!B417="","",Base_de_donnee_articles!B417)</f>
        <v/>
      </c>
      <c r="C417" s="8" t="e">
        <f>Etat_des_stocks!G417*Base_de_donnee_articles!D417</f>
        <v>#VALUE!</v>
      </c>
      <c r="D417" s="26" t="e">
        <f>Etat_des_stocks!F417*Base_de_donnee_articles!D417</f>
        <v>#VALUE!</v>
      </c>
      <c r="E417" s="4" t="str">
        <f>IF(Base_de_donnee_articles!E417="","",Base_de_donnee_articles!E417)</f>
        <v/>
      </c>
    </row>
    <row r="418" spans="2:5" x14ac:dyDescent="0.35">
      <c r="B418" s="4" t="str">
        <f>IF(Base_de_donnee_articles!B418="","",Base_de_donnee_articles!B418)</f>
        <v/>
      </c>
      <c r="C418" s="8" t="e">
        <f>Etat_des_stocks!G418*Base_de_donnee_articles!D418</f>
        <v>#VALUE!</v>
      </c>
      <c r="D418" s="26" t="e">
        <f>Etat_des_stocks!F418*Base_de_donnee_articles!D418</f>
        <v>#VALUE!</v>
      </c>
      <c r="E418" s="4" t="str">
        <f>IF(Base_de_donnee_articles!E418="","",Base_de_donnee_articles!E418)</f>
        <v/>
      </c>
    </row>
    <row r="419" spans="2:5" x14ac:dyDescent="0.35">
      <c r="B419" s="4" t="str">
        <f>IF(Base_de_donnee_articles!B419="","",Base_de_donnee_articles!B419)</f>
        <v/>
      </c>
      <c r="C419" s="8" t="e">
        <f>Etat_des_stocks!G419*Base_de_donnee_articles!D419</f>
        <v>#VALUE!</v>
      </c>
      <c r="D419" s="26" t="e">
        <f>Etat_des_stocks!F419*Base_de_donnee_articles!D419</f>
        <v>#VALUE!</v>
      </c>
      <c r="E419" s="4" t="str">
        <f>IF(Base_de_donnee_articles!E419="","",Base_de_donnee_articles!E419)</f>
        <v/>
      </c>
    </row>
    <row r="420" spans="2:5" x14ac:dyDescent="0.35">
      <c r="B420" s="4" t="str">
        <f>IF(Base_de_donnee_articles!B420="","",Base_de_donnee_articles!B420)</f>
        <v/>
      </c>
      <c r="C420" s="8" t="e">
        <f>Etat_des_stocks!G420*Base_de_donnee_articles!D420</f>
        <v>#VALUE!</v>
      </c>
      <c r="D420" s="26" t="e">
        <f>Etat_des_stocks!F420*Base_de_donnee_articles!D420</f>
        <v>#VALUE!</v>
      </c>
      <c r="E420" s="4" t="str">
        <f>IF(Base_de_donnee_articles!E420="","",Base_de_donnee_articles!E420)</f>
        <v/>
      </c>
    </row>
    <row r="421" spans="2:5" x14ac:dyDescent="0.35">
      <c r="B421" s="4" t="str">
        <f>IF(Base_de_donnee_articles!B421="","",Base_de_donnee_articles!B421)</f>
        <v/>
      </c>
      <c r="C421" s="8" t="e">
        <f>Etat_des_stocks!G421*Base_de_donnee_articles!D421</f>
        <v>#VALUE!</v>
      </c>
      <c r="D421" s="26" t="e">
        <f>Etat_des_stocks!F421*Base_de_donnee_articles!D421</f>
        <v>#VALUE!</v>
      </c>
      <c r="E421" s="4" t="str">
        <f>IF(Base_de_donnee_articles!E421="","",Base_de_donnee_articles!E421)</f>
        <v/>
      </c>
    </row>
    <row r="422" spans="2:5" x14ac:dyDescent="0.35">
      <c r="B422" s="4" t="str">
        <f>IF(Base_de_donnee_articles!B422="","",Base_de_donnee_articles!B422)</f>
        <v/>
      </c>
      <c r="C422" s="8" t="e">
        <f>Etat_des_stocks!G422*Base_de_donnee_articles!D422</f>
        <v>#VALUE!</v>
      </c>
      <c r="D422" s="26" t="e">
        <f>Etat_des_stocks!F422*Base_de_donnee_articles!D422</f>
        <v>#VALUE!</v>
      </c>
      <c r="E422" s="4" t="str">
        <f>IF(Base_de_donnee_articles!E422="","",Base_de_donnee_articles!E422)</f>
        <v/>
      </c>
    </row>
    <row r="423" spans="2:5" x14ac:dyDescent="0.35">
      <c r="B423" s="4" t="str">
        <f>IF(Base_de_donnee_articles!B423="","",Base_de_donnee_articles!B423)</f>
        <v/>
      </c>
      <c r="C423" s="8" t="e">
        <f>Etat_des_stocks!G423*Base_de_donnee_articles!D423</f>
        <v>#VALUE!</v>
      </c>
      <c r="D423" s="26" t="e">
        <f>Etat_des_stocks!F423*Base_de_donnee_articles!D423</f>
        <v>#VALUE!</v>
      </c>
      <c r="E423" s="4" t="str">
        <f>IF(Base_de_donnee_articles!E423="","",Base_de_donnee_articles!E423)</f>
        <v/>
      </c>
    </row>
    <row r="424" spans="2:5" x14ac:dyDescent="0.35">
      <c r="B424" s="4" t="str">
        <f>IF(Base_de_donnee_articles!B424="","",Base_de_donnee_articles!B424)</f>
        <v/>
      </c>
      <c r="C424" s="8" t="e">
        <f>Etat_des_stocks!G424*Base_de_donnee_articles!D424</f>
        <v>#VALUE!</v>
      </c>
      <c r="D424" s="26" t="e">
        <f>Etat_des_stocks!F424*Base_de_donnee_articles!D424</f>
        <v>#VALUE!</v>
      </c>
      <c r="E424" s="4" t="str">
        <f>IF(Base_de_donnee_articles!E424="","",Base_de_donnee_articles!E424)</f>
        <v/>
      </c>
    </row>
    <row r="425" spans="2:5" x14ac:dyDescent="0.35">
      <c r="B425" s="4" t="str">
        <f>IF(Base_de_donnee_articles!B425="","",Base_de_donnee_articles!B425)</f>
        <v/>
      </c>
      <c r="C425" s="8" t="e">
        <f>Etat_des_stocks!G425*Base_de_donnee_articles!D425</f>
        <v>#VALUE!</v>
      </c>
      <c r="D425" s="26" t="e">
        <f>Etat_des_stocks!F425*Base_de_donnee_articles!D425</f>
        <v>#VALUE!</v>
      </c>
      <c r="E425" s="4" t="str">
        <f>IF(Base_de_donnee_articles!E425="","",Base_de_donnee_articles!E425)</f>
        <v/>
      </c>
    </row>
    <row r="426" spans="2:5" x14ac:dyDescent="0.35">
      <c r="B426" s="4" t="str">
        <f>IF(Base_de_donnee_articles!B426="","",Base_de_donnee_articles!B426)</f>
        <v/>
      </c>
      <c r="C426" s="8" t="e">
        <f>Etat_des_stocks!G426*Base_de_donnee_articles!D426</f>
        <v>#VALUE!</v>
      </c>
      <c r="D426" s="26" t="e">
        <f>Etat_des_stocks!F426*Base_de_donnee_articles!D426</f>
        <v>#VALUE!</v>
      </c>
      <c r="E426" s="4" t="str">
        <f>IF(Base_de_donnee_articles!E426="","",Base_de_donnee_articles!E426)</f>
        <v/>
      </c>
    </row>
    <row r="427" spans="2:5" x14ac:dyDescent="0.35">
      <c r="B427" s="4" t="str">
        <f>IF(Base_de_donnee_articles!B427="","",Base_de_donnee_articles!B427)</f>
        <v/>
      </c>
      <c r="C427" s="8" t="e">
        <f>Etat_des_stocks!G427*Base_de_donnee_articles!D427</f>
        <v>#VALUE!</v>
      </c>
      <c r="D427" s="26" t="e">
        <f>Etat_des_stocks!F427*Base_de_donnee_articles!D427</f>
        <v>#VALUE!</v>
      </c>
      <c r="E427" s="4" t="str">
        <f>IF(Base_de_donnee_articles!E427="","",Base_de_donnee_articles!E427)</f>
        <v/>
      </c>
    </row>
    <row r="428" spans="2:5" x14ac:dyDescent="0.35">
      <c r="B428" s="4" t="str">
        <f>IF(Base_de_donnee_articles!B428="","",Base_de_donnee_articles!B428)</f>
        <v/>
      </c>
      <c r="C428" s="8" t="e">
        <f>Etat_des_stocks!G428*Base_de_donnee_articles!D428</f>
        <v>#VALUE!</v>
      </c>
      <c r="D428" s="26" t="e">
        <f>Etat_des_stocks!F428*Base_de_donnee_articles!D428</f>
        <v>#VALUE!</v>
      </c>
      <c r="E428" s="4" t="str">
        <f>IF(Base_de_donnee_articles!E428="","",Base_de_donnee_articles!E428)</f>
        <v/>
      </c>
    </row>
    <row r="429" spans="2:5" x14ac:dyDescent="0.35">
      <c r="B429" s="4" t="str">
        <f>IF(Base_de_donnee_articles!B429="","",Base_de_donnee_articles!B429)</f>
        <v/>
      </c>
      <c r="C429" s="8" t="e">
        <f>Etat_des_stocks!G429*Base_de_donnee_articles!D429</f>
        <v>#VALUE!</v>
      </c>
      <c r="D429" s="26" t="e">
        <f>Etat_des_stocks!F429*Base_de_donnee_articles!D429</f>
        <v>#VALUE!</v>
      </c>
      <c r="E429" s="4" t="str">
        <f>IF(Base_de_donnee_articles!E429="","",Base_de_donnee_articles!E429)</f>
        <v/>
      </c>
    </row>
    <row r="430" spans="2:5" x14ac:dyDescent="0.35">
      <c r="B430" s="4" t="str">
        <f>IF(Base_de_donnee_articles!B430="","",Base_de_donnee_articles!B430)</f>
        <v/>
      </c>
      <c r="C430" s="8" t="e">
        <f>Etat_des_stocks!G430*Base_de_donnee_articles!D430</f>
        <v>#VALUE!</v>
      </c>
      <c r="D430" s="26" t="e">
        <f>Etat_des_stocks!F430*Base_de_donnee_articles!D430</f>
        <v>#VALUE!</v>
      </c>
      <c r="E430" s="4" t="str">
        <f>IF(Base_de_donnee_articles!E430="","",Base_de_donnee_articles!E430)</f>
        <v/>
      </c>
    </row>
    <row r="431" spans="2:5" x14ac:dyDescent="0.35">
      <c r="B431" s="4" t="str">
        <f>IF(Base_de_donnee_articles!B431="","",Base_de_donnee_articles!B431)</f>
        <v/>
      </c>
      <c r="C431" s="8" t="e">
        <f>Etat_des_stocks!G431*Base_de_donnee_articles!D431</f>
        <v>#VALUE!</v>
      </c>
      <c r="D431" s="26" t="e">
        <f>Etat_des_stocks!F431*Base_de_donnee_articles!D431</f>
        <v>#VALUE!</v>
      </c>
      <c r="E431" s="4" t="str">
        <f>IF(Base_de_donnee_articles!E431="","",Base_de_donnee_articles!E431)</f>
        <v/>
      </c>
    </row>
    <row r="432" spans="2:5" x14ac:dyDescent="0.35">
      <c r="B432" s="4" t="str">
        <f>IF(Base_de_donnee_articles!B432="","",Base_de_donnee_articles!B432)</f>
        <v/>
      </c>
      <c r="C432" s="8" t="e">
        <f>Etat_des_stocks!G432*Base_de_donnee_articles!D432</f>
        <v>#VALUE!</v>
      </c>
      <c r="D432" s="26" t="e">
        <f>Etat_des_stocks!F432*Base_de_donnee_articles!D432</f>
        <v>#VALUE!</v>
      </c>
      <c r="E432" s="4" t="str">
        <f>IF(Base_de_donnee_articles!E432="","",Base_de_donnee_articles!E432)</f>
        <v/>
      </c>
    </row>
    <row r="433" spans="2:5" x14ac:dyDescent="0.35">
      <c r="B433" s="4" t="str">
        <f>IF(Base_de_donnee_articles!B433="","",Base_de_donnee_articles!B433)</f>
        <v/>
      </c>
      <c r="C433" s="8" t="e">
        <f>Etat_des_stocks!G433*Base_de_donnee_articles!D433</f>
        <v>#VALUE!</v>
      </c>
      <c r="D433" s="26" t="e">
        <f>Etat_des_stocks!F433*Base_de_donnee_articles!D433</f>
        <v>#VALUE!</v>
      </c>
      <c r="E433" s="4" t="str">
        <f>IF(Base_de_donnee_articles!E433="","",Base_de_donnee_articles!E433)</f>
        <v/>
      </c>
    </row>
    <row r="434" spans="2:5" x14ac:dyDescent="0.35">
      <c r="B434" s="4" t="str">
        <f>IF(Base_de_donnee_articles!B434="","",Base_de_donnee_articles!B434)</f>
        <v/>
      </c>
      <c r="C434" s="8" t="e">
        <f>Etat_des_stocks!G434*Base_de_donnee_articles!D434</f>
        <v>#VALUE!</v>
      </c>
      <c r="D434" s="26" t="e">
        <f>Etat_des_stocks!F434*Base_de_donnee_articles!D434</f>
        <v>#VALUE!</v>
      </c>
      <c r="E434" s="4" t="str">
        <f>IF(Base_de_donnee_articles!E434="","",Base_de_donnee_articles!E434)</f>
        <v/>
      </c>
    </row>
    <row r="435" spans="2:5" x14ac:dyDescent="0.35">
      <c r="B435" s="4" t="str">
        <f>IF(Base_de_donnee_articles!B435="","",Base_de_donnee_articles!B435)</f>
        <v/>
      </c>
      <c r="C435" s="8" t="e">
        <f>Etat_des_stocks!G435*Base_de_donnee_articles!D435</f>
        <v>#VALUE!</v>
      </c>
      <c r="D435" s="26" t="e">
        <f>Etat_des_stocks!F435*Base_de_donnee_articles!D435</f>
        <v>#VALUE!</v>
      </c>
      <c r="E435" s="4" t="str">
        <f>IF(Base_de_donnee_articles!E435="","",Base_de_donnee_articles!E435)</f>
        <v/>
      </c>
    </row>
    <row r="436" spans="2:5" x14ac:dyDescent="0.35">
      <c r="B436" s="4" t="str">
        <f>IF(Base_de_donnee_articles!B436="","",Base_de_donnee_articles!B436)</f>
        <v/>
      </c>
      <c r="C436" s="8" t="e">
        <f>Etat_des_stocks!G436*Base_de_donnee_articles!D436</f>
        <v>#VALUE!</v>
      </c>
      <c r="D436" s="26" t="e">
        <f>Etat_des_stocks!F436*Base_de_donnee_articles!D436</f>
        <v>#VALUE!</v>
      </c>
      <c r="E436" s="4" t="str">
        <f>IF(Base_de_donnee_articles!E436="","",Base_de_donnee_articles!E436)</f>
        <v/>
      </c>
    </row>
    <row r="437" spans="2:5" x14ac:dyDescent="0.35">
      <c r="B437" s="4" t="str">
        <f>IF(Base_de_donnee_articles!B437="","",Base_de_donnee_articles!B437)</f>
        <v/>
      </c>
      <c r="C437" s="8" t="e">
        <f>Etat_des_stocks!G437*Base_de_donnee_articles!D437</f>
        <v>#VALUE!</v>
      </c>
      <c r="D437" s="26" t="e">
        <f>Etat_des_stocks!F437*Base_de_donnee_articles!D437</f>
        <v>#VALUE!</v>
      </c>
      <c r="E437" s="4" t="str">
        <f>IF(Base_de_donnee_articles!E437="","",Base_de_donnee_articles!E437)</f>
        <v/>
      </c>
    </row>
    <row r="438" spans="2:5" x14ac:dyDescent="0.35">
      <c r="B438" s="4" t="str">
        <f>IF(Base_de_donnee_articles!B438="","",Base_de_donnee_articles!B438)</f>
        <v/>
      </c>
      <c r="C438" s="8" t="e">
        <f>Etat_des_stocks!G438*Base_de_donnee_articles!D438</f>
        <v>#VALUE!</v>
      </c>
      <c r="D438" s="26" t="e">
        <f>Etat_des_stocks!F438*Base_de_donnee_articles!D438</f>
        <v>#VALUE!</v>
      </c>
      <c r="E438" s="4" t="str">
        <f>IF(Base_de_donnee_articles!E438="","",Base_de_donnee_articles!E438)</f>
        <v/>
      </c>
    </row>
    <row r="439" spans="2:5" x14ac:dyDescent="0.35">
      <c r="B439" s="4" t="str">
        <f>IF(Base_de_donnee_articles!B439="","",Base_de_donnee_articles!B439)</f>
        <v/>
      </c>
      <c r="C439" s="8" t="e">
        <f>Etat_des_stocks!G439*Base_de_donnee_articles!D439</f>
        <v>#VALUE!</v>
      </c>
      <c r="D439" s="26" t="e">
        <f>Etat_des_stocks!F439*Base_de_donnee_articles!D439</f>
        <v>#VALUE!</v>
      </c>
      <c r="E439" s="4" t="str">
        <f>IF(Base_de_donnee_articles!E439="","",Base_de_donnee_articles!E439)</f>
        <v/>
      </c>
    </row>
    <row r="440" spans="2:5" x14ac:dyDescent="0.35">
      <c r="B440" s="4" t="str">
        <f>IF(Base_de_donnee_articles!B440="","",Base_de_donnee_articles!B440)</f>
        <v/>
      </c>
      <c r="C440" s="8" t="e">
        <f>Etat_des_stocks!G440*Base_de_donnee_articles!D440</f>
        <v>#VALUE!</v>
      </c>
      <c r="D440" s="26" t="e">
        <f>Etat_des_stocks!F440*Base_de_donnee_articles!D440</f>
        <v>#VALUE!</v>
      </c>
      <c r="E440" s="4" t="str">
        <f>IF(Base_de_donnee_articles!E440="","",Base_de_donnee_articles!E440)</f>
        <v/>
      </c>
    </row>
    <row r="441" spans="2:5" x14ac:dyDescent="0.35">
      <c r="B441" s="4" t="str">
        <f>IF(Base_de_donnee_articles!B441="","",Base_de_donnee_articles!B441)</f>
        <v/>
      </c>
      <c r="C441" s="8" t="e">
        <f>Etat_des_stocks!G441*Base_de_donnee_articles!D441</f>
        <v>#VALUE!</v>
      </c>
      <c r="D441" s="26" t="e">
        <f>Etat_des_stocks!F441*Base_de_donnee_articles!D441</f>
        <v>#VALUE!</v>
      </c>
      <c r="E441" s="4" t="str">
        <f>IF(Base_de_donnee_articles!E441="","",Base_de_donnee_articles!E441)</f>
        <v/>
      </c>
    </row>
    <row r="442" spans="2:5" x14ac:dyDescent="0.35">
      <c r="B442" s="4" t="str">
        <f>IF(Base_de_donnee_articles!B442="","",Base_de_donnee_articles!B442)</f>
        <v/>
      </c>
      <c r="C442" s="8" t="e">
        <f>Etat_des_stocks!G442*Base_de_donnee_articles!D442</f>
        <v>#VALUE!</v>
      </c>
      <c r="D442" s="26" t="e">
        <f>Etat_des_stocks!F442*Base_de_donnee_articles!D442</f>
        <v>#VALUE!</v>
      </c>
      <c r="E442" s="4" t="str">
        <f>IF(Base_de_donnee_articles!E442="","",Base_de_donnee_articles!E442)</f>
        <v/>
      </c>
    </row>
    <row r="443" spans="2:5" x14ac:dyDescent="0.35">
      <c r="B443" s="4" t="str">
        <f>IF(Base_de_donnee_articles!B443="","",Base_de_donnee_articles!B443)</f>
        <v/>
      </c>
      <c r="C443" s="8" t="e">
        <f>Etat_des_stocks!G443*Base_de_donnee_articles!D443</f>
        <v>#VALUE!</v>
      </c>
      <c r="D443" s="26" t="e">
        <f>Etat_des_stocks!F443*Base_de_donnee_articles!D443</f>
        <v>#VALUE!</v>
      </c>
      <c r="E443" s="4" t="str">
        <f>IF(Base_de_donnee_articles!E443="","",Base_de_donnee_articles!E443)</f>
        <v/>
      </c>
    </row>
    <row r="444" spans="2:5" x14ac:dyDescent="0.35">
      <c r="B444" s="4" t="str">
        <f>IF(Base_de_donnee_articles!B444="","",Base_de_donnee_articles!B444)</f>
        <v/>
      </c>
      <c r="C444" s="8" t="e">
        <f>Etat_des_stocks!G444*Base_de_donnee_articles!D444</f>
        <v>#VALUE!</v>
      </c>
      <c r="D444" s="26" t="e">
        <f>Etat_des_stocks!F444*Base_de_donnee_articles!D444</f>
        <v>#VALUE!</v>
      </c>
      <c r="E444" s="4" t="str">
        <f>IF(Base_de_donnee_articles!E444="","",Base_de_donnee_articles!E444)</f>
        <v/>
      </c>
    </row>
    <row r="445" spans="2:5" x14ac:dyDescent="0.35">
      <c r="B445" s="4" t="str">
        <f>IF(Base_de_donnee_articles!B445="","",Base_de_donnee_articles!B445)</f>
        <v/>
      </c>
      <c r="C445" s="8" t="e">
        <f>Etat_des_stocks!G445*Base_de_donnee_articles!D445</f>
        <v>#VALUE!</v>
      </c>
      <c r="D445" s="26" t="e">
        <f>Etat_des_stocks!F445*Base_de_donnee_articles!D445</f>
        <v>#VALUE!</v>
      </c>
      <c r="E445" s="4" t="str">
        <f>IF(Base_de_donnee_articles!E445="","",Base_de_donnee_articles!E445)</f>
        <v/>
      </c>
    </row>
    <row r="446" spans="2:5" x14ac:dyDescent="0.35">
      <c r="B446" s="4" t="str">
        <f>IF(Base_de_donnee_articles!B446="","",Base_de_donnee_articles!B446)</f>
        <v/>
      </c>
      <c r="C446" s="8" t="e">
        <f>Etat_des_stocks!G446*Base_de_donnee_articles!D446</f>
        <v>#VALUE!</v>
      </c>
      <c r="D446" s="26" t="e">
        <f>Etat_des_stocks!F446*Base_de_donnee_articles!D446</f>
        <v>#VALUE!</v>
      </c>
      <c r="E446" s="4" t="str">
        <f>IF(Base_de_donnee_articles!E446="","",Base_de_donnee_articles!E446)</f>
        <v/>
      </c>
    </row>
    <row r="447" spans="2:5" x14ac:dyDescent="0.35">
      <c r="B447" s="4" t="str">
        <f>IF(Base_de_donnee_articles!B447="","",Base_de_donnee_articles!B447)</f>
        <v/>
      </c>
      <c r="C447" s="8" t="e">
        <f>Etat_des_stocks!G447*Base_de_donnee_articles!D447</f>
        <v>#VALUE!</v>
      </c>
      <c r="D447" s="26" t="e">
        <f>Etat_des_stocks!F447*Base_de_donnee_articles!D447</f>
        <v>#VALUE!</v>
      </c>
      <c r="E447" s="4" t="str">
        <f>IF(Base_de_donnee_articles!E447="","",Base_de_donnee_articles!E447)</f>
        <v/>
      </c>
    </row>
    <row r="448" spans="2:5" x14ac:dyDescent="0.35">
      <c r="B448" s="4" t="str">
        <f>IF(Base_de_donnee_articles!B448="","",Base_de_donnee_articles!B448)</f>
        <v/>
      </c>
      <c r="C448" s="8" t="e">
        <f>Etat_des_stocks!G448*Base_de_donnee_articles!D448</f>
        <v>#VALUE!</v>
      </c>
      <c r="D448" s="26" t="e">
        <f>Etat_des_stocks!F448*Base_de_donnee_articles!D448</f>
        <v>#VALUE!</v>
      </c>
      <c r="E448" s="4" t="str">
        <f>IF(Base_de_donnee_articles!E448="","",Base_de_donnee_articles!E448)</f>
        <v/>
      </c>
    </row>
    <row r="449" spans="2:5" x14ac:dyDescent="0.35">
      <c r="B449" s="4" t="str">
        <f>IF(Base_de_donnee_articles!B449="","",Base_de_donnee_articles!B449)</f>
        <v/>
      </c>
      <c r="C449" s="8" t="e">
        <f>Etat_des_stocks!G449*Base_de_donnee_articles!D449</f>
        <v>#VALUE!</v>
      </c>
      <c r="D449" s="26" t="e">
        <f>Etat_des_stocks!F449*Base_de_donnee_articles!D449</f>
        <v>#VALUE!</v>
      </c>
      <c r="E449" s="4" t="str">
        <f>IF(Base_de_donnee_articles!E449="","",Base_de_donnee_articles!E449)</f>
        <v/>
      </c>
    </row>
    <row r="450" spans="2:5" x14ac:dyDescent="0.35">
      <c r="B450" s="4" t="str">
        <f>IF(Base_de_donnee_articles!B450="","",Base_de_donnee_articles!B450)</f>
        <v/>
      </c>
      <c r="C450" s="8" t="e">
        <f>Etat_des_stocks!G450*Base_de_donnee_articles!D450</f>
        <v>#VALUE!</v>
      </c>
      <c r="D450" s="26" t="e">
        <f>Etat_des_stocks!F450*Base_de_donnee_articles!D450</f>
        <v>#VALUE!</v>
      </c>
      <c r="E450" s="4" t="str">
        <f>IF(Base_de_donnee_articles!E450="","",Base_de_donnee_articles!E450)</f>
        <v/>
      </c>
    </row>
    <row r="451" spans="2:5" x14ac:dyDescent="0.35">
      <c r="B451" s="4" t="str">
        <f>IF(Base_de_donnee_articles!B451="","",Base_de_donnee_articles!B451)</f>
        <v/>
      </c>
      <c r="C451" s="8" t="e">
        <f>Etat_des_stocks!G451*Base_de_donnee_articles!D451</f>
        <v>#VALUE!</v>
      </c>
      <c r="D451" s="26" t="e">
        <f>Etat_des_stocks!F451*Base_de_donnee_articles!D451</f>
        <v>#VALUE!</v>
      </c>
      <c r="E451" s="4" t="str">
        <f>IF(Base_de_donnee_articles!E451="","",Base_de_donnee_articles!E451)</f>
        <v/>
      </c>
    </row>
    <row r="452" spans="2:5" x14ac:dyDescent="0.35">
      <c r="B452" s="4" t="str">
        <f>IF(Base_de_donnee_articles!B452="","",Base_de_donnee_articles!B452)</f>
        <v/>
      </c>
      <c r="C452" s="8" t="e">
        <f>Etat_des_stocks!G452*Base_de_donnee_articles!D452</f>
        <v>#VALUE!</v>
      </c>
      <c r="D452" s="26" t="e">
        <f>Etat_des_stocks!F452*Base_de_donnee_articles!D452</f>
        <v>#VALUE!</v>
      </c>
      <c r="E452" s="4" t="str">
        <f>IF(Base_de_donnee_articles!E452="","",Base_de_donnee_articles!E452)</f>
        <v/>
      </c>
    </row>
    <row r="453" spans="2:5" x14ac:dyDescent="0.35">
      <c r="B453" s="4" t="str">
        <f>IF(Base_de_donnee_articles!B453="","",Base_de_donnee_articles!B453)</f>
        <v/>
      </c>
      <c r="C453" s="8" t="e">
        <f>Etat_des_stocks!G453*Base_de_donnee_articles!D453</f>
        <v>#VALUE!</v>
      </c>
      <c r="D453" s="26" t="e">
        <f>Etat_des_stocks!F453*Base_de_donnee_articles!D453</f>
        <v>#VALUE!</v>
      </c>
      <c r="E453" s="4" t="str">
        <f>IF(Base_de_donnee_articles!E453="","",Base_de_donnee_articles!E453)</f>
        <v/>
      </c>
    </row>
    <row r="454" spans="2:5" x14ac:dyDescent="0.35">
      <c r="B454" s="4" t="str">
        <f>IF(Base_de_donnee_articles!B454="","",Base_de_donnee_articles!B454)</f>
        <v/>
      </c>
      <c r="C454" s="8" t="e">
        <f>Etat_des_stocks!G454*Base_de_donnee_articles!D454</f>
        <v>#VALUE!</v>
      </c>
      <c r="D454" s="26" t="e">
        <f>Etat_des_stocks!F454*Base_de_donnee_articles!D454</f>
        <v>#VALUE!</v>
      </c>
      <c r="E454" s="4" t="str">
        <f>IF(Base_de_donnee_articles!E454="","",Base_de_donnee_articles!E454)</f>
        <v/>
      </c>
    </row>
    <row r="455" spans="2:5" x14ac:dyDescent="0.35">
      <c r="B455" s="4" t="str">
        <f>IF(Base_de_donnee_articles!B455="","",Base_de_donnee_articles!B455)</f>
        <v/>
      </c>
      <c r="C455" s="8" t="e">
        <f>Etat_des_stocks!G455*Base_de_donnee_articles!D455</f>
        <v>#VALUE!</v>
      </c>
      <c r="D455" s="26">
        <f>Etat_des_stocks!F455*Base_de_donnee_articles!D455</f>
        <v>0</v>
      </c>
      <c r="E455" s="4" t="str">
        <f>IF(Base_de_donnee_articles!E455="","",Base_de_donnee_articles!E455)</f>
        <v/>
      </c>
    </row>
    <row r="456" spans="2:5" x14ac:dyDescent="0.35">
      <c r="B456" s="4" t="str">
        <f>IF(Base_de_donnee_articles!B456="","",Base_de_donnee_articles!B456)</f>
        <v/>
      </c>
      <c r="C456" s="8" t="e">
        <f>Etat_des_stocks!G456*Base_de_donnee_articles!D456</f>
        <v>#VALUE!</v>
      </c>
      <c r="D456" s="26">
        <f>Etat_des_stocks!F456*Base_de_donnee_articles!D456</f>
        <v>0</v>
      </c>
      <c r="E456" s="4" t="str">
        <f>IF(Base_de_donnee_articles!E456="","",Base_de_donnee_articles!E456)</f>
        <v/>
      </c>
    </row>
    <row r="457" spans="2:5" x14ac:dyDescent="0.35">
      <c r="B457" s="4" t="str">
        <f>IF(Base_de_donnee_articles!B457="","",Base_de_donnee_articles!B457)</f>
        <v/>
      </c>
      <c r="C457" s="8" t="e">
        <f>Etat_des_stocks!G457*Base_de_donnee_articles!D457</f>
        <v>#VALUE!</v>
      </c>
      <c r="D457" s="26">
        <f>Etat_des_stocks!F457*Base_de_donnee_articles!D457</f>
        <v>0</v>
      </c>
      <c r="E457" s="4" t="str">
        <f>IF(Base_de_donnee_articles!E457="","",Base_de_donnee_articles!E457)</f>
        <v/>
      </c>
    </row>
    <row r="458" spans="2:5" x14ac:dyDescent="0.35">
      <c r="B458" s="4" t="str">
        <f>IF(Base_de_donnee_articles!B458="","",Base_de_donnee_articles!B458)</f>
        <v/>
      </c>
      <c r="C458" s="8">
        <f>Etat_des_stocks!G458*Base_de_donnee_articles!D458</f>
        <v>0</v>
      </c>
      <c r="D458" s="26">
        <f>Etat_des_stocks!F458*Base_de_donnee_articles!D458</f>
        <v>0</v>
      </c>
      <c r="E458" s="4" t="str">
        <f>IF(Base_de_donnee_articles!E458="","",Base_de_donnee_articles!E458)</f>
        <v/>
      </c>
    </row>
    <row r="459" spans="2:5" x14ac:dyDescent="0.35">
      <c r="B459" s="4" t="str">
        <f>IF(Base_de_donnee_articles!B459="","",Base_de_donnee_articles!B459)</f>
        <v/>
      </c>
      <c r="C459" s="8">
        <f>Etat_des_stocks!G459*Base_de_donnee_articles!D459</f>
        <v>0</v>
      </c>
      <c r="D459" s="26">
        <f>Etat_des_stocks!F459*Base_de_donnee_articles!D459</f>
        <v>0</v>
      </c>
      <c r="E459" s="4" t="str">
        <f>IF(Base_de_donnee_articles!E459="","",Base_de_donnee_articles!E459)</f>
        <v/>
      </c>
    </row>
    <row r="460" spans="2:5" x14ac:dyDescent="0.35">
      <c r="B460" s="4" t="str">
        <f>IF(Base_de_donnee_articles!B460="","",Base_de_donnee_articles!B460)</f>
        <v/>
      </c>
      <c r="C460" s="8">
        <f>Etat_des_stocks!G460*Base_de_donnee_articles!D460</f>
        <v>0</v>
      </c>
      <c r="D460" s="26">
        <f>Etat_des_stocks!F460*Base_de_donnee_articles!D460</f>
        <v>0</v>
      </c>
      <c r="E460" s="4" t="str">
        <f>IF(Base_de_donnee_articles!E460="","",Base_de_donnee_articles!E460)</f>
        <v/>
      </c>
    </row>
    <row r="461" spans="2:5" x14ac:dyDescent="0.35">
      <c r="B461" s="4" t="str">
        <f>IF(Base_de_donnee_articles!B461="","",Base_de_donnee_articles!B461)</f>
        <v/>
      </c>
      <c r="C461" s="8">
        <f>Etat_des_stocks!G461*Base_de_donnee_articles!D461</f>
        <v>0</v>
      </c>
      <c r="D461" s="26">
        <f>Etat_des_stocks!F461*Base_de_donnee_articles!D461</f>
        <v>0</v>
      </c>
      <c r="E461" s="4" t="str">
        <f>IF(Base_de_donnee_articles!E461="","",Base_de_donnee_articles!E461)</f>
        <v/>
      </c>
    </row>
    <row r="462" spans="2:5" x14ac:dyDescent="0.35">
      <c r="B462" s="4" t="str">
        <f>IF(Base_de_donnee_articles!B462="","",Base_de_donnee_articles!B462)</f>
        <v/>
      </c>
      <c r="C462" s="8">
        <f>Etat_des_stocks!G462*Base_de_donnee_articles!D462</f>
        <v>0</v>
      </c>
      <c r="D462" s="26">
        <f>Etat_des_stocks!F462*Base_de_donnee_articles!D462</f>
        <v>0</v>
      </c>
      <c r="E462" s="4" t="str">
        <f>IF(Base_de_donnee_articles!E462="","",Base_de_donnee_articles!E462)</f>
        <v/>
      </c>
    </row>
    <row r="463" spans="2:5" x14ac:dyDescent="0.35">
      <c r="B463" s="4" t="str">
        <f>IF(Base_de_donnee_articles!B463="","",Base_de_donnee_articles!B463)</f>
        <v/>
      </c>
      <c r="C463" s="8">
        <f>Etat_des_stocks!G463*Base_de_donnee_articles!D463</f>
        <v>0</v>
      </c>
      <c r="D463" s="26">
        <f>Etat_des_stocks!F463*Base_de_donnee_articles!D463</f>
        <v>0</v>
      </c>
      <c r="E463" s="4" t="str">
        <f>IF(Base_de_donnee_articles!E463="","",Base_de_donnee_articles!E463)</f>
        <v/>
      </c>
    </row>
    <row r="464" spans="2:5" x14ac:dyDescent="0.35">
      <c r="B464" s="4" t="str">
        <f>IF(Base_de_donnee_articles!B464="","",Base_de_donnee_articles!B464)</f>
        <v/>
      </c>
      <c r="C464" s="8">
        <f>Etat_des_stocks!G464*Base_de_donnee_articles!D464</f>
        <v>0</v>
      </c>
      <c r="D464" s="26">
        <f>Etat_des_stocks!F464*Base_de_donnee_articles!D464</f>
        <v>0</v>
      </c>
      <c r="E464" s="4" t="str">
        <f>IF(Base_de_donnee_articles!E464="","",Base_de_donnee_articles!E464)</f>
        <v/>
      </c>
    </row>
    <row r="465" spans="2:5" x14ac:dyDescent="0.35">
      <c r="B465" s="4" t="str">
        <f>IF(Base_de_donnee_articles!B465="","",Base_de_donnee_articles!B465)</f>
        <v/>
      </c>
      <c r="C465" s="8">
        <f>Etat_des_stocks!G465*Base_de_donnee_articles!D465</f>
        <v>0</v>
      </c>
      <c r="D465" s="26">
        <f>Etat_des_stocks!F465*Base_de_donnee_articles!D465</f>
        <v>0</v>
      </c>
      <c r="E465" s="4" t="str">
        <f>IF(Base_de_donnee_articles!E465="","",Base_de_donnee_articles!E465)</f>
        <v/>
      </c>
    </row>
    <row r="466" spans="2:5" x14ac:dyDescent="0.35">
      <c r="B466" s="4" t="str">
        <f>IF(Base_de_donnee_articles!B466="","",Base_de_donnee_articles!B466)</f>
        <v/>
      </c>
      <c r="C466" s="8">
        <f>Etat_des_stocks!G466*Base_de_donnee_articles!D466</f>
        <v>0</v>
      </c>
      <c r="D466" s="26">
        <f>Etat_des_stocks!F466*Base_de_donnee_articles!D466</f>
        <v>0</v>
      </c>
      <c r="E466" s="4" t="str">
        <f>IF(Base_de_donnee_articles!E466="","",Base_de_donnee_articles!E466)</f>
        <v/>
      </c>
    </row>
    <row r="467" spans="2:5" x14ac:dyDescent="0.35">
      <c r="B467" s="4" t="str">
        <f>IF(Base_de_donnee_articles!B467="","",Base_de_donnee_articles!B467)</f>
        <v/>
      </c>
      <c r="C467" s="8">
        <f>Etat_des_stocks!G467*Base_de_donnee_articles!D467</f>
        <v>0</v>
      </c>
      <c r="D467" s="26">
        <f>Etat_des_stocks!F467*Base_de_donnee_articles!D467</f>
        <v>0</v>
      </c>
      <c r="E467" s="4" t="str">
        <f>IF(Base_de_donnee_articles!E467="","",Base_de_donnee_articles!E467)</f>
        <v/>
      </c>
    </row>
    <row r="468" spans="2:5" x14ac:dyDescent="0.35">
      <c r="B468" s="4" t="str">
        <f>IF(Base_de_donnee_articles!B468="","",Base_de_donnee_articles!B468)</f>
        <v/>
      </c>
      <c r="C468" s="8">
        <f>Etat_des_stocks!G468*Base_de_donnee_articles!D468</f>
        <v>0</v>
      </c>
      <c r="D468" s="26">
        <f>Etat_des_stocks!F468*Base_de_donnee_articles!D468</f>
        <v>0</v>
      </c>
      <c r="E468" s="4" t="str">
        <f>IF(Base_de_donnee_articles!E468="","",Base_de_donnee_articles!E468)</f>
        <v/>
      </c>
    </row>
    <row r="469" spans="2:5" x14ac:dyDescent="0.35">
      <c r="B469" s="4" t="str">
        <f>IF(Base_de_donnee_articles!B469="","",Base_de_donnee_articles!B469)</f>
        <v/>
      </c>
      <c r="C469" s="8">
        <f>Etat_des_stocks!G469*Base_de_donnee_articles!D469</f>
        <v>0</v>
      </c>
      <c r="D469" s="26">
        <f>Etat_des_stocks!F469*Base_de_donnee_articles!D469</f>
        <v>0</v>
      </c>
      <c r="E469" s="4" t="str">
        <f>IF(Base_de_donnee_articles!E469="","",Base_de_donnee_articles!E469)</f>
        <v/>
      </c>
    </row>
    <row r="470" spans="2:5" x14ac:dyDescent="0.35">
      <c r="B470" s="4" t="str">
        <f>IF(Base_de_donnee_articles!B470="","",Base_de_donnee_articles!B470)</f>
        <v/>
      </c>
      <c r="C470" s="8">
        <f>Etat_des_stocks!G470*Base_de_donnee_articles!D470</f>
        <v>0</v>
      </c>
      <c r="D470" s="26">
        <f>Etat_des_stocks!F470*Base_de_donnee_articles!D470</f>
        <v>0</v>
      </c>
      <c r="E470" s="4" t="str">
        <f>IF(Base_de_donnee_articles!E470="","",Base_de_donnee_articles!E470)</f>
        <v/>
      </c>
    </row>
    <row r="471" spans="2:5" x14ac:dyDescent="0.35">
      <c r="B471" s="4" t="str">
        <f>IF(Base_de_donnee_articles!B471="","",Base_de_donnee_articles!B471)</f>
        <v/>
      </c>
      <c r="C471" s="8">
        <f>Etat_des_stocks!G471*Base_de_donnee_articles!D471</f>
        <v>0</v>
      </c>
      <c r="D471" s="26">
        <f>Etat_des_stocks!F471*Base_de_donnee_articles!D471</f>
        <v>0</v>
      </c>
      <c r="E471" s="4" t="str">
        <f>IF(Base_de_donnee_articles!E471="","",Base_de_donnee_articles!E471)</f>
        <v/>
      </c>
    </row>
    <row r="472" spans="2:5" x14ac:dyDescent="0.35">
      <c r="B472" s="4" t="str">
        <f>IF(Base_de_donnee_articles!B472="","",Base_de_donnee_articles!B472)</f>
        <v/>
      </c>
      <c r="C472" s="8">
        <f>Etat_des_stocks!G472*Base_de_donnee_articles!D472</f>
        <v>0</v>
      </c>
      <c r="D472" s="26">
        <f>Etat_des_stocks!F472*Base_de_donnee_articles!D472</f>
        <v>0</v>
      </c>
      <c r="E472" s="4" t="str">
        <f>IF(Base_de_donnee_articles!E472="","",Base_de_donnee_articles!E472)</f>
        <v/>
      </c>
    </row>
    <row r="473" spans="2:5" x14ac:dyDescent="0.35">
      <c r="B473" s="4" t="str">
        <f>IF(Base_de_donnee_articles!B473="","",Base_de_donnee_articles!B473)</f>
        <v/>
      </c>
      <c r="C473" s="8">
        <f>Etat_des_stocks!G473*Base_de_donnee_articles!D473</f>
        <v>0</v>
      </c>
      <c r="D473" s="26">
        <f>Etat_des_stocks!F473*Base_de_donnee_articles!D473</f>
        <v>0</v>
      </c>
      <c r="E473" s="4" t="str">
        <f>IF(Base_de_donnee_articles!E473="","",Base_de_donnee_articles!E473)</f>
        <v/>
      </c>
    </row>
    <row r="474" spans="2:5" x14ac:dyDescent="0.35">
      <c r="B474" s="4" t="str">
        <f>IF(Base_de_donnee_articles!B474="","",Base_de_donnee_articles!B474)</f>
        <v/>
      </c>
      <c r="C474" s="8">
        <f>Etat_des_stocks!G474*Base_de_donnee_articles!D474</f>
        <v>0</v>
      </c>
      <c r="D474" s="26">
        <f>Etat_des_stocks!F474*Base_de_donnee_articles!D474</f>
        <v>0</v>
      </c>
      <c r="E474" s="4" t="str">
        <f>IF(Base_de_donnee_articles!E474="","",Base_de_donnee_articles!E474)</f>
        <v/>
      </c>
    </row>
    <row r="475" spans="2:5" x14ac:dyDescent="0.35">
      <c r="B475" s="4" t="str">
        <f>IF(Base_de_donnee_articles!B475="","",Base_de_donnee_articles!B475)</f>
        <v/>
      </c>
      <c r="C475" s="8">
        <f>Etat_des_stocks!G475*Base_de_donnee_articles!D475</f>
        <v>0</v>
      </c>
      <c r="D475" s="26">
        <f>Etat_des_stocks!F475*Base_de_donnee_articles!D475</f>
        <v>0</v>
      </c>
      <c r="E475" s="4" t="str">
        <f>IF(Base_de_donnee_articles!E475="","",Base_de_donnee_articles!E475)</f>
        <v/>
      </c>
    </row>
    <row r="476" spans="2:5" x14ac:dyDescent="0.35">
      <c r="B476" s="4" t="str">
        <f>IF(Base_de_donnee_articles!B476="","",Base_de_donnee_articles!B476)</f>
        <v/>
      </c>
      <c r="C476" s="8">
        <f>Etat_des_stocks!G476*Base_de_donnee_articles!D476</f>
        <v>0</v>
      </c>
      <c r="D476" s="26">
        <f>Etat_des_stocks!F476*Base_de_donnee_articles!D476</f>
        <v>0</v>
      </c>
      <c r="E476" s="4" t="str">
        <f>IF(Base_de_donnee_articles!E476="","",Base_de_donnee_articles!E476)</f>
        <v/>
      </c>
    </row>
    <row r="477" spans="2:5" x14ac:dyDescent="0.35">
      <c r="B477" s="4" t="str">
        <f>IF(Base_de_donnee_articles!B477="","",Base_de_donnee_articles!B477)</f>
        <v/>
      </c>
      <c r="C477" s="8">
        <f>Etat_des_stocks!G477*Base_de_donnee_articles!D477</f>
        <v>0</v>
      </c>
      <c r="D477" s="26">
        <f>Etat_des_stocks!F477*Base_de_donnee_articles!D477</f>
        <v>0</v>
      </c>
      <c r="E477" s="4" t="str">
        <f>IF(Base_de_donnee_articles!E477="","",Base_de_donnee_articles!E477)</f>
        <v/>
      </c>
    </row>
    <row r="478" spans="2:5" x14ac:dyDescent="0.35">
      <c r="B478" s="4" t="str">
        <f>IF(Base_de_donnee_articles!B478="","",Base_de_donnee_articles!B478)</f>
        <v/>
      </c>
      <c r="C478" s="8">
        <f>Etat_des_stocks!G478*Base_de_donnee_articles!D478</f>
        <v>0</v>
      </c>
      <c r="D478" s="26">
        <f>Etat_des_stocks!F478*Base_de_donnee_articles!D478</f>
        <v>0</v>
      </c>
      <c r="E478" s="4" t="str">
        <f>IF(Base_de_donnee_articles!E478="","",Base_de_donnee_articles!E478)</f>
        <v/>
      </c>
    </row>
    <row r="479" spans="2:5" x14ac:dyDescent="0.35">
      <c r="B479" s="4" t="str">
        <f>IF(Base_de_donnee_articles!B479="","",Base_de_donnee_articles!B479)</f>
        <v/>
      </c>
      <c r="C479" s="8">
        <f>Etat_des_stocks!G479*Base_de_donnee_articles!D479</f>
        <v>0</v>
      </c>
      <c r="D479" s="26">
        <f>Etat_des_stocks!F479*Base_de_donnee_articles!D479</f>
        <v>0</v>
      </c>
      <c r="E479" s="4" t="str">
        <f>IF(Base_de_donnee_articles!E479="","",Base_de_donnee_articles!E479)</f>
        <v/>
      </c>
    </row>
    <row r="480" spans="2:5" x14ac:dyDescent="0.35">
      <c r="B480" s="4" t="str">
        <f>IF(Base_de_donnee_articles!B480="","",Base_de_donnee_articles!B480)</f>
        <v/>
      </c>
      <c r="C480" s="8">
        <f>Etat_des_stocks!G480*Base_de_donnee_articles!D480</f>
        <v>0</v>
      </c>
      <c r="D480" s="26">
        <f>Etat_des_stocks!F480*Base_de_donnee_articles!D480</f>
        <v>0</v>
      </c>
      <c r="E480" s="4" t="str">
        <f>IF(Base_de_donnee_articles!E480="","",Base_de_donnee_articles!E480)</f>
        <v/>
      </c>
    </row>
    <row r="481" spans="2:5" x14ac:dyDescent="0.35">
      <c r="B481" s="4" t="str">
        <f>IF(Base_de_donnee_articles!B481="","",Base_de_donnee_articles!B481)</f>
        <v/>
      </c>
      <c r="C481" s="8">
        <f>Etat_des_stocks!G481*Base_de_donnee_articles!D481</f>
        <v>0</v>
      </c>
      <c r="D481" s="26">
        <f>Etat_des_stocks!F481*Base_de_donnee_articles!D481</f>
        <v>0</v>
      </c>
      <c r="E481" s="4" t="str">
        <f>IF(Base_de_donnee_articles!E481="","",Base_de_donnee_articles!E481)</f>
        <v/>
      </c>
    </row>
    <row r="482" spans="2:5" x14ac:dyDescent="0.35">
      <c r="B482" s="4" t="str">
        <f>IF(Base_de_donnee_articles!B482="","",Base_de_donnee_articles!B482)</f>
        <v/>
      </c>
      <c r="C482" s="8">
        <f>Etat_des_stocks!G482*Base_de_donnee_articles!D482</f>
        <v>0</v>
      </c>
      <c r="D482" s="26">
        <f>Etat_des_stocks!F482*Base_de_donnee_articles!D482</f>
        <v>0</v>
      </c>
      <c r="E482" s="4" t="str">
        <f>IF(Base_de_donnee_articles!E482="","",Base_de_donnee_articles!E482)</f>
        <v/>
      </c>
    </row>
    <row r="483" spans="2:5" x14ac:dyDescent="0.35">
      <c r="B483" s="4" t="str">
        <f>IF(Base_de_donnee_articles!B483="","",Base_de_donnee_articles!B483)</f>
        <v/>
      </c>
      <c r="C483" s="8">
        <f>Etat_des_stocks!G483*Base_de_donnee_articles!D483</f>
        <v>0</v>
      </c>
      <c r="D483" s="26">
        <f>Etat_des_stocks!F483*Base_de_donnee_articles!D483</f>
        <v>0</v>
      </c>
      <c r="E483" s="4" t="str">
        <f>IF(Base_de_donnee_articles!E483="","",Base_de_donnee_articles!E483)</f>
        <v/>
      </c>
    </row>
    <row r="484" spans="2:5" x14ac:dyDescent="0.35">
      <c r="B484" s="4" t="str">
        <f>IF(Base_de_donnee_articles!B484="","",Base_de_donnee_articles!B484)</f>
        <v/>
      </c>
      <c r="C484" s="8">
        <f>Etat_des_stocks!G484*Base_de_donnee_articles!D484</f>
        <v>0</v>
      </c>
      <c r="D484" s="26">
        <f>Etat_des_stocks!F484*Base_de_donnee_articles!D484</f>
        <v>0</v>
      </c>
      <c r="E484" s="4" t="str">
        <f>IF(Base_de_donnee_articles!E484="","",Base_de_donnee_articles!E484)</f>
        <v/>
      </c>
    </row>
    <row r="485" spans="2:5" x14ac:dyDescent="0.35">
      <c r="B485" s="4" t="str">
        <f>IF(Base_de_donnee_articles!B485="","",Base_de_donnee_articles!B485)</f>
        <v/>
      </c>
      <c r="C485" s="8">
        <f>Etat_des_stocks!G485*Base_de_donnee_articles!D485</f>
        <v>0</v>
      </c>
      <c r="D485" s="26">
        <f>Etat_des_stocks!F485*Base_de_donnee_articles!D485</f>
        <v>0</v>
      </c>
      <c r="E485" s="4" t="str">
        <f>IF(Base_de_donnee_articles!E485="","",Base_de_donnee_articles!E485)</f>
        <v/>
      </c>
    </row>
    <row r="486" spans="2:5" x14ac:dyDescent="0.35">
      <c r="B486" s="4" t="str">
        <f>IF(Base_de_donnee_articles!B486="","",Base_de_donnee_articles!B486)</f>
        <v/>
      </c>
      <c r="C486" s="8">
        <f>Etat_des_stocks!G486*Base_de_donnee_articles!D486</f>
        <v>0</v>
      </c>
      <c r="D486" s="26">
        <f>Etat_des_stocks!F486*Base_de_donnee_articles!D486</f>
        <v>0</v>
      </c>
      <c r="E486" s="4" t="str">
        <f>IF(Base_de_donnee_articles!E486="","",Base_de_donnee_articles!E486)</f>
        <v/>
      </c>
    </row>
    <row r="487" spans="2:5" x14ac:dyDescent="0.35">
      <c r="B487" s="4" t="str">
        <f>IF(Base_de_donnee_articles!B487="","",Base_de_donnee_articles!B487)</f>
        <v/>
      </c>
      <c r="C487" s="8">
        <f>Etat_des_stocks!G487*Base_de_donnee_articles!D487</f>
        <v>0</v>
      </c>
      <c r="D487" s="26">
        <f>Etat_des_stocks!F487*Base_de_donnee_articles!D487</f>
        <v>0</v>
      </c>
      <c r="E487" s="4" t="str">
        <f>IF(Base_de_donnee_articles!E487="","",Base_de_donnee_articles!E487)</f>
        <v/>
      </c>
    </row>
    <row r="488" spans="2:5" x14ac:dyDescent="0.35">
      <c r="B488" s="4" t="str">
        <f>IF(Base_de_donnee_articles!B488="","",Base_de_donnee_articles!B488)</f>
        <v/>
      </c>
      <c r="C488" s="8">
        <f>Etat_des_stocks!G488*Base_de_donnee_articles!D488</f>
        <v>0</v>
      </c>
      <c r="D488" s="26">
        <f>Etat_des_stocks!F488*Base_de_donnee_articles!D488</f>
        <v>0</v>
      </c>
      <c r="E488" s="4" t="str">
        <f>IF(Base_de_donnee_articles!E488="","",Base_de_donnee_articles!E488)</f>
        <v/>
      </c>
    </row>
    <row r="489" spans="2:5" x14ac:dyDescent="0.35">
      <c r="B489" s="4" t="str">
        <f>IF(Base_de_donnee_articles!B489="","",Base_de_donnee_articles!B489)</f>
        <v/>
      </c>
      <c r="C489" s="8">
        <f>Etat_des_stocks!G489*Base_de_donnee_articles!D489</f>
        <v>0</v>
      </c>
      <c r="D489" s="26">
        <f>Etat_des_stocks!F489*Base_de_donnee_articles!D489</f>
        <v>0</v>
      </c>
      <c r="E489" s="4" t="str">
        <f>IF(Base_de_donnee_articles!E489="","",Base_de_donnee_articles!E489)</f>
        <v/>
      </c>
    </row>
    <row r="490" spans="2:5" x14ac:dyDescent="0.35">
      <c r="B490" s="4" t="str">
        <f>IF(Base_de_donnee_articles!B490="","",Base_de_donnee_articles!B490)</f>
        <v/>
      </c>
      <c r="C490" s="8">
        <f>Etat_des_stocks!G490*Base_de_donnee_articles!D490</f>
        <v>0</v>
      </c>
      <c r="D490" s="26">
        <f>Etat_des_stocks!F490*Base_de_donnee_articles!D490</f>
        <v>0</v>
      </c>
      <c r="E490" s="4" t="str">
        <f>IF(Base_de_donnee_articles!E490="","",Base_de_donnee_articles!E490)</f>
        <v/>
      </c>
    </row>
    <row r="491" spans="2:5" x14ac:dyDescent="0.35">
      <c r="B491" s="4" t="str">
        <f>IF(Base_de_donnee_articles!B491="","",Base_de_donnee_articles!B491)</f>
        <v/>
      </c>
      <c r="C491" s="8">
        <f>Etat_des_stocks!G491*Base_de_donnee_articles!D491</f>
        <v>0</v>
      </c>
      <c r="D491" s="26">
        <f>Etat_des_stocks!F491*Base_de_donnee_articles!D491</f>
        <v>0</v>
      </c>
      <c r="E491" s="4" t="str">
        <f>IF(Base_de_donnee_articles!E491="","",Base_de_donnee_articles!E491)</f>
        <v/>
      </c>
    </row>
    <row r="492" spans="2:5" x14ac:dyDescent="0.35">
      <c r="B492" s="4" t="str">
        <f>IF(Base_de_donnee_articles!B492="","",Base_de_donnee_articles!B492)</f>
        <v/>
      </c>
      <c r="C492" s="8">
        <f>Etat_des_stocks!G492*Base_de_donnee_articles!D492</f>
        <v>0</v>
      </c>
      <c r="D492" s="26">
        <f>Etat_des_stocks!F492*Base_de_donnee_articles!D492</f>
        <v>0</v>
      </c>
      <c r="E492" s="4" t="str">
        <f>IF(Base_de_donnee_articles!E492="","",Base_de_donnee_articles!E492)</f>
        <v/>
      </c>
    </row>
    <row r="493" spans="2:5" x14ac:dyDescent="0.35">
      <c r="B493" s="4" t="str">
        <f>IF(Base_de_donnee_articles!B493="","",Base_de_donnee_articles!B493)</f>
        <v/>
      </c>
      <c r="C493" s="8">
        <f>Etat_des_stocks!G493*Base_de_donnee_articles!D493</f>
        <v>0</v>
      </c>
      <c r="D493" s="26">
        <f>Etat_des_stocks!F493*Base_de_donnee_articles!D493</f>
        <v>0</v>
      </c>
      <c r="E493" s="4" t="str">
        <f>IF(Base_de_donnee_articles!E493="","",Base_de_donnee_articles!E493)</f>
        <v/>
      </c>
    </row>
    <row r="494" spans="2:5" x14ac:dyDescent="0.35">
      <c r="B494" s="4" t="str">
        <f>IF(Base_de_donnee_articles!B494="","",Base_de_donnee_articles!B494)</f>
        <v/>
      </c>
      <c r="C494" s="8">
        <f>Etat_des_stocks!G494*Base_de_donnee_articles!D494</f>
        <v>0</v>
      </c>
      <c r="D494" s="26">
        <f>Etat_des_stocks!F494*Base_de_donnee_articles!D494</f>
        <v>0</v>
      </c>
      <c r="E494" s="4" t="str">
        <f>IF(Base_de_donnee_articles!E494="","",Base_de_donnee_articles!E494)</f>
        <v/>
      </c>
    </row>
    <row r="495" spans="2:5" x14ac:dyDescent="0.35">
      <c r="B495" s="4" t="str">
        <f>IF(Base_de_donnee_articles!B495="","",Base_de_donnee_articles!B495)</f>
        <v/>
      </c>
      <c r="C495" s="8">
        <f>Etat_des_stocks!G495*Base_de_donnee_articles!D495</f>
        <v>0</v>
      </c>
      <c r="D495" s="26">
        <f>Etat_des_stocks!F495*Base_de_donnee_articles!D495</f>
        <v>0</v>
      </c>
      <c r="E495" s="4" t="str">
        <f>IF(Base_de_donnee_articles!E495="","",Base_de_donnee_articles!E495)</f>
        <v/>
      </c>
    </row>
    <row r="496" spans="2:5" x14ac:dyDescent="0.35">
      <c r="B496" s="4" t="str">
        <f>IF(Base_de_donnee_articles!B496="","",Base_de_donnee_articles!B496)</f>
        <v/>
      </c>
      <c r="C496" s="8">
        <f>Etat_des_stocks!G496*Base_de_donnee_articles!D496</f>
        <v>0</v>
      </c>
      <c r="D496" s="26">
        <f>Etat_des_stocks!F496*Base_de_donnee_articles!D496</f>
        <v>0</v>
      </c>
      <c r="E496" s="4" t="str">
        <f>IF(Base_de_donnee_articles!E496="","",Base_de_donnee_articles!E496)</f>
        <v/>
      </c>
    </row>
    <row r="497" spans="2:5" x14ac:dyDescent="0.35">
      <c r="B497" s="4" t="str">
        <f>IF(Base_de_donnee_articles!B497="","",Base_de_donnee_articles!B497)</f>
        <v/>
      </c>
      <c r="C497" s="8">
        <f>Etat_des_stocks!G497*Base_de_donnee_articles!D497</f>
        <v>0</v>
      </c>
      <c r="D497" s="26">
        <f>Etat_des_stocks!F497*Base_de_donnee_articles!D497</f>
        <v>0</v>
      </c>
      <c r="E497" s="4" t="str">
        <f>IF(Base_de_donnee_articles!E497="","",Base_de_donnee_articles!E497)</f>
        <v/>
      </c>
    </row>
    <row r="498" spans="2:5" x14ac:dyDescent="0.35">
      <c r="B498" s="4" t="str">
        <f>IF(Base_de_donnee_articles!B498="","",Base_de_donnee_articles!B498)</f>
        <v/>
      </c>
      <c r="C498" s="8">
        <f>Etat_des_stocks!G498*Base_de_donnee_articles!D498</f>
        <v>0</v>
      </c>
      <c r="D498" s="26">
        <f>Etat_des_stocks!F498*Base_de_donnee_articles!D498</f>
        <v>0</v>
      </c>
      <c r="E498" s="4" t="str">
        <f>IF(Base_de_donnee_articles!E498="","",Base_de_donnee_articles!E498)</f>
        <v/>
      </c>
    </row>
    <row r="499" spans="2:5" x14ac:dyDescent="0.35">
      <c r="B499" s="4" t="str">
        <f>IF(Base_de_donnee_articles!B499="","",Base_de_donnee_articles!B499)</f>
        <v/>
      </c>
      <c r="C499" s="8">
        <f>Etat_des_stocks!G499*Base_de_donnee_articles!D499</f>
        <v>0</v>
      </c>
      <c r="D499" s="26">
        <f>Etat_des_stocks!F499*Base_de_donnee_articles!D499</f>
        <v>0</v>
      </c>
      <c r="E499" s="4" t="str">
        <f>IF(Base_de_donnee_articles!E499="","",Base_de_donnee_articles!E499)</f>
        <v/>
      </c>
    </row>
    <row r="500" spans="2:5" x14ac:dyDescent="0.35">
      <c r="B500" s="4" t="str">
        <f>IF(Base_de_donnee_articles!B500="","",Base_de_donnee_articles!B500)</f>
        <v/>
      </c>
      <c r="C500" s="8">
        <f>Etat_des_stocks!G500*Base_de_donnee_articles!D500</f>
        <v>0</v>
      </c>
      <c r="D500" s="26">
        <f>Etat_des_stocks!F500*Base_de_donnee_articles!D500</f>
        <v>0</v>
      </c>
      <c r="E500" s="4" t="str">
        <f>IF(Base_de_donnee_articles!E500="","",Base_de_donnee_articles!E500)</f>
        <v/>
      </c>
    </row>
    <row r="501" spans="2:5" x14ac:dyDescent="0.35">
      <c r="B501" s="4" t="str">
        <f>IF(Base_de_donnee_articles!B501="","",Base_de_donnee_articles!B501)</f>
        <v/>
      </c>
      <c r="C501" s="8">
        <f>Etat_des_stocks!G501*Base_de_donnee_articles!D501</f>
        <v>0</v>
      </c>
      <c r="D501" s="26">
        <f>Etat_des_stocks!F501*Base_de_donnee_articles!D501</f>
        <v>0</v>
      </c>
      <c r="E501" s="4" t="str">
        <f>IF(Base_de_donnee_articles!E501="","",Base_de_donnee_articles!E501)</f>
        <v/>
      </c>
    </row>
    <row r="502" spans="2:5" x14ac:dyDescent="0.35">
      <c r="B502" s="4" t="str">
        <f>IF(Base_de_donnee_articles!B502="","",Base_de_donnee_articles!B502)</f>
        <v/>
      </c>
      <c r="C502" s="8">
        <f>Etat_des_stocks!G502*Base_de_donnee_articles!D502</f>
        <v>0</v>
      </c>
      <c r="D502" s="26">
        <f>Etat_des_stocks!F502*Base_de_donnee_articles!D502</f>
        <v>0</v>
      </c>
      <c r="E502" s="4" t="str">
        <f>IF(Base_de_donnee_articles!E502="","",Base_de_donnee_articles!E502)</f>
        <v/>
      </c>
    </row>
    <row r="503" spans="2:5" x14ac:dyDescent="0.35">
      <c r="B503" s="4" t="str">
        <f>IF(Base_de_donnee_articles!B503="","",Base_de_donnee_articles!B503)</f>
        <v/>
      </c>
      <c r="C503" s="8">
        <f>Etat_des_stocks!G503*Base_de_donnee_articles!D503</f>
        <v>0</v>
      </c>
      <c r="D503" s="26">
        <f>Etat_des_stocks!F503*Base_de_donnee_articles!D503</f>
        <v>0</v>
      </c>
      <c r="E503" s="4" t="str">
        <f>IF(Base_de_donnee_articles!E503="","",Base_de_donnee_articles!E503)</f>
        <v/>
      </c>
    </row>
    <row r="504" spans="2:5" x14ac:dyDescent="0.35">
      <c r="B504" s="4" t="str">
        <f>IF(Base_de_donnee_articles!B504="","",Base_de_donnee_articles!B504)</f>
        <v/>
      </c>
      <c r="C504" s="8">
        <f>Etat_des_stocks!G504*Base_de_donnee_articles!D504</f>
        <v>0</v>
      </c>
      <c r="D504" s="26">
        <f>Etat_des_stocks!F504*Base_de_donnee_articles!D504</f>
        <v>0</v>
      </c>
      <c r="E504" s="4" t="str">
        <f>IF(Base_de_donnee_articles!E504="","",Base_de_donnee_articles!E504)</f>
        <v/>
      </c>
    </row>
    <row r="505" spans="2:5" x14ac:dyDescent="0.35">
      <c r="B505" s="4" t="str">
        <f>IF(Base_de_donnee_articles!B505="","",Base_de_donnee_articles!B505)</f>
        <v/>
      </c>
      <c r="C505" s="8">
        <f>Etat_des_stocks!G505*Base_de_donnee_articles!D505</f>
        <v>0</v>
      </c>
      <c r="D505" s="26">
        <f>Etat_des_stocks!F505*Base_de_donnee_articles!D505</f>
        <v>0</v>
      </c>
      <c r="E505" s="4" t="str">
        <f>IF(Base_de_donnee_articles!E505="","",Base_de_donnee_articles!E505)</f>
        <v/>
      </c>
    </row>
    <row r="506" spans="2:5" x14ac:dyDescent="0.35">
      <c r="B506" s="4" t="str">
        <f>IF(Base_de_donnee_articles!B506="","",Base_de_donnee_articles!B506)</f>
        <v/>
      </c>
      <c r="C506" s="8">
        <f>Etat_des_stocks!G506*Base_de_donnee_articles!D506</f>
        <v>0</v>
      </c>
      <c r="D506" s="26">
        <f>Etat_des_stocks!F506*Base_de_donnee_articles!D506</f>
        <v>0</v>
      </c>
      <c r="E506" s="4" t="str">
        <f>IF(Base_de_donnee_articles!E506="","",Base_de_donnee_articles!E506)</f>
        <v/>
      </c>
    </row>
    <row r="507" spans="2:5" x14ac:dyDescent="0.35">
      <c r="B507" s="4" t="str">
        <f>IF(Base_de_donnee_articles!B507="","",Base_de_donnee_articles!B507)</f>
        <v/>
      </c>
      <c r="C507" s="8">
        <f>Etat_des_stocks!G507*Base_de_donnee_articles!D507</f>
        <v>0</v>
      </c>
      <c r="D507" s="26">
        <f>Etat_des_stocks!F507*Base_de_donnee_articles!D507</f>
        <v>0</v>
      </c>
      <c r="E507" s="4" t="str">
        <f>IF(Base_de_donnee_articles!E507="","",Base_de_donnee_articles!E507)</f>
        <v/>
      </c>
    </row>
    <row r="508" spans="2:5" x14ac:dyDescent="0.35">
      <c r="B508" s="4" t="str">
        <f>IF(Base_de_donnee_articles!B508="","",Base_de_donnee_articles!B508)</f>
        <v/>
      </c>
      <c r="C508" s="8">
        <f>Etat_des_stocks!G508*Base_de_donnee_articles!D508</f>
        <v>0</v>
      </c>
      <c r="D508" s="26">
        <f>Etat_des_stocks!F508*Base_de_donnee_articles!D508</f>
        <v>0</v>
      </c>
      <c r="E508" s="4" t="str">
        <f>IF(Base_de_donnee_articles!E508="","",Base_de_donnee_articles!E508)</f>
        <v/>
      </c>
    </row>
    <row r="509" spans="2:5" x14ac:dyDescent="0.35">
      <c r="B509" s="4" t="str">
        <f>IF(Base_de_donnee_articles!B509="","",Base_de_donnee_articles!B509)</f>
        <v/>
      </c>
      <c r="C509" s="8">
        <f>Etat_des_stocks!G509*Base_de_donnee_articles!D509</f>
        <v>0</v>
      </c>
      <c r="D509" s="26">
        <f>Etat_des_stocks!F509*Base_de_donnee_articles!D509</f>
        <v>0</v>
      </c>
      <c r="E509" s="4" t="str">
        <f>IF(Base_de_donnee_articles!E509="","",Base_de_donnee_articles!E509)</f>
        <v/>
      </c>
    </row>
    <row r="510" spans="2:5" x14ac:dyDescent="0.35">
      <c r="B510" s="4" t="str">
        <f>IF(Base_de_donnee_articles!B510="","",Base_de_donnee_articles!B510)</f>
        <v/>
      </c>
      <c r="C510" s="8">
        <f>Etat_des_stocks!G510*Base_de_donnee_articles!D510</f>
        <v>0</v>
      </c>
      <c r="D510" s="26">
        <f>Etat_des_stocks!F510*Base_de_donnee_articles!D510</f>
        <v>0</v>
      </c>
      <c r="E510" s="4" t="str">
        <f>IF(Base_de_donnee_articles!E510="","",Base_de_donnee_articles!E510)</f>
        <v/>
      </c>
    </row>
    <row r="511" spans="2:5" x14ac:dyDescent="0.35">
      <c r="B511" s="4" t="str">
        <f>IF(Base_de_donnee_articles!B511="","",Base_de_donnee_articles!B511)</f>
        <v/>
      </c>
      <c r="C511" s="8">
        <f>Etat_des_stocks!G511*Base_de_donnee_articles!D511</f>
        <v>0</v>
      </c>
      <c r="D511" s="26">
        <f>Etat_des_stocks!F511*Base_de_donnee_articles!D511</f>
        <v>0</v>
      </c>
      <c r="E511" s="4" t="str">
        <f>IF(Base_de_donnee_articles!E511="","",Base_de_donnee_articles!E511)</f>
        <v/>
      </c>
    </row>
    <row r="512" spans="2:5" x14ac:dyDescent="0.35">
      <c r="B512" s="4" t="str">
        <f>IF(Base_de_donnee_articles!B512="","",Base_de_donnee_articles!B512)</f>
        <v/>
      </c>
      <c r="C512" s="8">
        <f>Etat_des_stocks!G512*Base_de_donnee_articles!D512</f>
        <v>0</v>
      </c>
      <c r="D512" s="26">
        <f>Etat_des_stocks!F512*Base_de_donnee_articles!D512</f>
        <v>0</v>
      </c>
      <c r="E512" s="4" t="str">
        <f>IF(Base_de_donnee_articles!E512="","",Base_de_donnee_articles!E512)</f>
        <v/>
      </c>
    </row>
    <row r="513" spans="2:5" x14ac:dyDescent="0.35">
      <c r="B513" s="4" t="str">
        <f>IF(Base_de_donnee_articles!B513="","",Base_de_donnee_articles!B513)</f>
        <v/>
      </c>
      <c r="C513" s="8">
        <f>Etat_des_stocks!G513*Base_de_donnee_articles!D513</f>
        <v>0</v>
      </c>
      <c r="D513" s="26">
        <f>Etat_des_stocks!F513*Base_de_donnee_articles!D513</f>
        <v>0</v>
      </c>
      <c r="E513" s="4" t="str">
        <f>IF(Base_de_donnee_articles!E513="","",Base_de_donnee_articles!E513)</f>
        <v/>
      </c>
    </row>
    <row r="514" spans="2:5" x14ac:dyDescent="0.35">
      <c r="B514" s="4" t="str">
        <f>IF(Base_de_donnee_articles!B514="","",Base_de_donnee_articles!B514)</f>
        <v/>
      </c>
      <c r="C514" s="8">
        <f>Etat_des_stocks!G514*Base_de_donnee_articles!D514</f>
        <v>0</v>
      </c>
      <c r="D514" s="26">
        <f>Etat_des_stocks!F514*Base_de_donnee_articles!D514</f>
        <v>0</v>
      </c>
      <c r="E514" s="4" t="str">
        <f>IF(Base_de_donnee_articles!E514="","",Base_de_donnee_articles!E514)</f>
        <v/>
      </c>
    </row>
    <row r="515" spans="2:5" x14ac:dyDescent="0.35">
      <c r="B515" s="4" t="str">
        <f>IF(Base_de_donnee_articles!B515="","",Base_de_donnee_articles!B515)</f>
        <v/>
      </c>
      <c r="C515" s="8">
        <f>Etat_des_stocks!G515*Base_de_donnee_articles!D515</f>
        <v>0</v>
      </c>
      <c r="D515" s="26">
        <f>Etat_des_stocks!F515*Base_de_donnee_articles!D515</f>
        <v>0</v>
      </c>
      <c r="E515" s="4" t="str">
        <f>IF(Base_de_donnee_articles!E515="","",Base_de_donnee_articles!E515)</f>
        <v/>
      </c>
    </row>
    <row r="516" spans="2:5" x14ac:dyDescent="0.35">
      <c r="B516" s="4" t="str">
        <f>IF(Base_de_donnee_articles!B516="","",Base_de_donnee_articles!B516)</f>
        <v/>
      </c>
      <c r="C516" s="8">
        <f>Etat_des_stocks!G516*Base_de_donnee_articles!D516</f>
        <v>0</v>
      </c>
      <c r="D516" s="26">
        <f>Etat_des_stocks!F516*Base_de_donnee_articles!D516</f>
        <v>0</v>
      </c>
      <c r="E516" s="4" t="str">
        <f>IF(Base_de_donnee_articles!E516="","",Base_de_donnee_articles!E516)</f>
        <v/>
      </c>
    </row>
    <row r="517" spans="2:5" x14ac:dyDescent="0.35">
      <c r="B517" s="4" t="str">
        <f>IF(Base_de_donnee_articles!B517="","",Base_de_donnee_articles!B517)</f>
        <v/>
      </c>
      <c r="C517" s="8">
        <f>Etat_des_stocks!G517*Base_de_donnee_articles!D517</f>
        <v>0</v>
      </c>
      <c r="D517" s="26">
        <f>Etat_des_stocks!F517*Base_de_donnee_articles!D517</f>
        <v>0</v>
      </c>
      <c r="E517" s="4" t="str">
        <f>IF(Base_de_donnee_articles!E517="","",Base_de_donnee_articles!E517)</f>
        <v/>
      </c>
    </row>
    <row r="518" spans="2:5" x14ac:dyDescent="0.35">
      <c r="B518" s="4" t="str">
        <f>IF(Base_de_donnee_articles!B518="","",Base_de_donnee_articles!B518)</f>
        <v/>
      </c>
      <c r="C518" s="8">
        <f>Etat_des_stocks!G518*Base_de_donnee_articles!D518</f>
        <v>0</v>
      </c>
      <c r="D518" s="26">
        <f>Etat_des_stocks!F518*Base_de_donnee_articles!D518</f>
        <v>0</v>
      </c>
      <c r="E518" s="4" t="str">
        <f>IF(Base_de_donnee_articles!E518="","",Base_de_donnee_articles!E518)</f>
        <v/>
      </c>
    </row>
    <row r="519" spans="2:5" x14ac:dyDescent="0.35">
      <c r="B519" s="4" t="str">
        <f>IF(Base_de_donnee_articles!B519="","",Base_de_donnee_articles!B519)</f>
        <v/>
      </c>
      <c r="C519" s="8">
        <f>Etat_des_stocks!G519*Base_de_donnee_articles!D519</f>
        <v>0</v>
      </c>
      <c r="D519" s="26">
        <f>Etat_des_stocks!F519*Base_de_donnee_articles!D519</f>
        <v>0</v>
      </c>
      <c r="E519" s="4" t="str">
        <f>IF(Base_de_donnee_articles!E519="","",Base_de_donnee_articles!E519)</f>
        <v/>
      </c>
    </row>
    <row r="520" spans="2:5" x14ac:dyDescent="0.35">
      <c r="B520" s="4" t="str">
        <f>IF(Base_de_donnee_articles!B520="","",Base_de_donnee_articles!B520)</f>
        <v/>
      </c>
      <c r="C520" s="8">
        <f>Etat_des_stocks!G520*Base_de_donnee_articles!D520</f>
        <v>0</v>
      </c>
      <c r="D520" s="26">
        <f>Etat_des_stocks!F520*Base_de_donnee_articles!D520</f>
        <v>0</v>
      </c>
      <c r="E520" s="4" t="str">
        <f>IF(Base_de_donnee_articles!E520="","",Base_de_donnee_articles!E520)</f>
        <v/>
      </c>
    </row>
    <row r="521" spans="2:5" x14ac:dyDescent="0.35">
      <c r="B521" s="4" t="str">
        <f>IF(Base_de_donnee_articles!B521="","",Base_de_donnee_articles!B521)</f>
        <v/>
      </c>
      <c r="C521" s="8">
        <f>Etat_des_stocks!G521*Base_de_donnee_articles!D521</f>
        <v>0</v>
      </c>
      <c r="D521" s="26">
        <f>Etat_des_stocks!F521*Base_de_donnee_articles!D521</f>
        <v>0</v>
      </c>
      <c r="E521" s="4" t="str">
        <f>IF(Base_de_donnee_articles!E521="","",Base_de_donnee_articles!E521)</f>
        <v/>
      </c>
    </row>
    <row r="522" spans="2:5" x14ac:dyDescent="0.35">
      <c r="B522" s="4" t="str">
        <f>IF(Base_de_donnee_articles!B522="","",Base_de_donnee_articles!B522)</f>
        <v/>
      </c>
      <c r="C522" s="8">
        <f>Etat_des_stocks!G522*Base_de_donnee_articles!D522</f>
        <v>0</v>
      </c>
      <c r="D522" s="26">
        <f>Etat_des_stocks!F522*Base_de_donnee_articles!D522</f>
        <v>0</v>
      </c>
      <c r="E522" s="4" t="str">
        <f>IF(Base_de_donnee_articles!E522="","",Base_de_donnee_articles!E522)</f>
        <v/>
      </c>
    </row>
    <row r="523" spans="2:5" x14ac:dyDescent="0.35">
      <c r="B523" s="4" t="str">
        <f>IF(Base_de_donnee_articles!B523="","",Base_de_donnee_articles!B523)</f>
        <v/>
      </c>
      <c r="C523" s="8">
        <f>Etat_des_stocks!G523*Base_de_donnee_articles!D523</f>
        <v>0</v>
      </c>
      <c r="D523" s="26">
        <f>Etat_des_stocks!F523*Base_de_donnee_articles!D523</f>
        <v>0</v>
      </c>
      <c r="E523" s="4" t="str">
        <f>IF(Base_de_donnee_articles!E523="","",Base_de_donnee_articles!E523)</f>
        <v/>
      </c>
    </row>
    <row r="524" spans="2:5" x14ac:dyDescent="0.35">
      <c r="B524" s="4" t="str">
        <f>IF(Base_de_donnee_articles!B524="","",Base_de_donnee_articles!B524)</f>
        <v/>
      </c>
      <c r="C524" s="8">
        <f>Etat_des_stocks!G524*Base_de_donnee_articles!D524</f>
        <v>0</v>
      </c>
      <c r="D524" s="26">
        <f>Etat_des_stocks!F524*Base_de_donnee_articles!D524</f>
        <v>0</v>
      </c>
      <c r="E524" s="4" t="str">
        <f>IF(Base_de_donnee_articles!E524="","",Base_de_donnee_articles!E524)</f>
        <v/>
      </c>
    </row>
    <row r="525" spans="2:5" x14ac:dyDescent="0.35">
      <c r="B525" s="4" t="str">
        <f>IF(Base_de_donnee_articles!B525="","",Base_de_donnee_articles!B525)</f>
        <v/>
      </c>
      <c r="C525" s="8">
        <f>Etat_des_stocks!G525*Base_de_donnee_articles!D525</f>
        <v>0</v>
      </c>
      <c r="D525" s="26">
        <f>Etat_des_stocks!F525*Base_de_donnee_articles!D525</f>
        <v>0</v>
      </c>
      <c r="E525" s="4" t="str">
        <f>IF(Base_de_donnee_articles!E525="","",Base_de_donnee_articles!E525)</f>
        <v/>
      </c>
    </row>
    <row r="526" spans="2:5" x14ac:dyDescent="0.35">
      <c r="B526" s="4" t="str">
        <f>IF(Base_de_donnee_articles!B526="","",Base_de_donnee_articles!B526)</f>
        <v/>
      </c>
      <c r="C526" s="8">
        <f>Etat_des_stocks!G526*Base_de_donnee_articles!D526</f>
        <v>0</v>
      </c>
      <c r="D526" s="26">
        <f>Etat_des_stocks!F526*Base_de_donnee_articles!D526</f>
        <v>0</v>
      </c>
      <c r="E526" s="4" t="str">
        <f>IF(Base_de_donnee_articles!E526="","",Base_de_donnee_articles!E526)</f>
        <v/>
      </c>
    </row>
    <row r="527" spans="2:5" x14ac:dyDescent="0.35">
      <c r="B527" s="4" t="str">
        <f>IF(Base_de_donnee_articles!B527="","",Base_de_donnee_articles!B527)</f>
        <v/>
      </c>
      <c r="C527" s="8">
        <f>Etat_des_stocks!G527*Base_de_donnee_articles!D527</f>
        <v>0</v>
      </c>
      <c r="D527" s="26">
        <f>Etat_des_stocks!F527*Base_de_donnee_articles!D527</f>
        <v>0</v>
      </c>
      <c r="E527" s="4" t="str">
        <f>IF(Base_de_donnee_articles!E527="","",Base_de_donnee_articles!E527)</f>
        <v/>
      </c>
    </row>
    <row r="528" spans="2:5" x14ac:dyDescent="0.35">
      <c r="B528" s="4" t="str">
        <f>IF(Base_de_donnee_articles!B528="","",Base_de_donnee_articles!B528)</f>
        <v/>
      </c>
      <c r="C528" s="8">
        <f>Etat_des_stocks!G528*Base_de_donnee_articles!D528</f>
        <v>0</v>
      </c>
      <c r="D528" s="26">
        <f>Etat_des_stocks!F528*Base_de_donnee_articles!D528</f>
        <v>0</v>
      </c>
      <c r="E528" s="4" t="str">
        <f>IF(Base_de_donnee_articles!E528="","",Base_de_donnee_articles!E528)</f>
        <v/>
      </c>
    </row>
    <row r="529" spans="2:5" x14ac:dyDescent="0.35">
      <c r="B529" s="4" t="str">
        <f>IF(Base_de_donnee_articles!B529="","",Base_de_donnee_articles!B529)</f>
        <v/>
      </c>
      <c r="C529" s="8">
        <f>Etat_des_stocks!G529*Base_de_donnee_articles!D529</f>
        <v>0</v>
      </c>
      <c r="D529" s="26">
        <f>Etat_des_stocks!F529*Base_de_donnee_articles!D529</f>
        <v>0</v>
      </c>
      <c r="E529" s="4" t="str">
        <f>IF(Base_de_donnee_articles!E529="","",Base_de_donnee_articles!E529)</f>
        <v/>
      </c>
    </row>
    <row r="530" spans="2:5" x14ac:dyDescent="0.35">
      <c r="B530" s="4" t="str">
        <f>IF(Base_de_donnee_articles!B530="","",Base_de_donnee_articles!B530)</f>
        <v/>
      </c>
      <c r="C530" s="8">
        <f>Etat_des_stocks!G530*Base_de_donnee_articles!D530</f>
        <v>0</v>
      </c>
      <c r="D530" s="26">
        <f>Etat_des_stocks!F530*Base_de_donnee_articles!D530</f>
        <v>0</v>
      </c>
      <c r="E530" s="4" t="str">
        <f>IF(Base_de_donnee_articles!E530="","",Base_de_donnee_articles!E530)</f>
        <v/>
      </c>
    </row>
    <row r="531" spans="2:5" x14ac:dyDescent="0.35">
      <c r="B531" s="4" t="str">
        <f>IF(Base_de_donnee_articles!B531="","",Base_de_donnee_articles!B531)</f>
        <v/>
      </c>
      <c r="C531" s="8">
        <f>Etat_des_stocks!G531*Base_de_donnee_articles!D531</f>
        <v>0</v>
      </c>
      <c r="D531" s="26">
        <f>Etat_des_stocks!F531*Base_de_donnee_articles!D531</f>
        <v>0</v>
      </c>
      <c r="E531" s="4" t="str">
        <f>IF(Base_de_donnee_articles!E531="","",Base_de_donnee_articles!E531)</f>
        <v/>
      </c>
    </row>
    <row r="532" spans="2:5" x14ac:dyDescent="0.35">
      <c r="B532" s="4" t="str">
        <f>IF(Base_de_donnee_articles!B532="","",Base_de_donnee_articles!B532)</f>
        <v/>
      </c>
      <c r="C532" s="8">
        <f>Etat_des_stocks!G532*Base_de_donnee_articles!D532</f>
        <v>0</v>
      </c>
      <c r="D532" s="26">
        <f>Etat_des_stocks!F532*Base_de_donnee_articles!D532</f>
        <v>0</v>
      </c>
      <c r="E532" s="4" t="str">
        <f>IF(Base_de_donnee_articles!E532="","",Base_de_donnee_articles!E532)</f>
        <v/>
      </c>
    </row>
    <row r="533" spans="2:5" x14ac:dyDescent="0.35">
      <c r="B533" s="4" t="str">
        <f>IF(Base_de_donnee_articles!B533="","",Base_de_donnee_articles!B533)</f>
        <v/>
      </c>
      <c r="C533" s="8">
        <f>Etat_des_stocks!G533*Base_de_donnee_articles!D533</f>
        <v>0</v>
      </c>
      <c r="D533" s="26">
        <f>Etat_des_stocks!F533*Base_de_donnee_articles!D533</f>
        <v>0</v>
      </c>
      <c r="E533" s="4" t="str">
        <f>IF(Base_de_donnee_articles!E533="","",Base_de_donnee_articles!E533)</f>
        <v/>
      </c>
    </row>
    <row r="534" spans="2:5" x14ac:dyDescent="0.35">
      <c r="B534" s="4" t="str">
        <f>IF(Base_de_donnee_articles!B534="","",Base_de_donnee_articles!B534)</f>
        <v/>
      </c>
      <c r="C534" s="8">
        <f>Etat_des_stocks!G534*Base_de_donnee_articles!D534</f>
        <v>0</v>
      </c>
      <c r="D534" s="26">
        <f>Etat_des_stocks!F534*Base_de_donnee_articles!D534</f>
        <v>0</v>
      </c>
      <c r="E534" s="4" t="str">
        <f>IF(Base_de_donnee_articles!E534="","",Base_de_donnee_articles!E534)</f>
        <v/>
      </c>
    </row>
    <row r="535" spans="2:5" x14ac:dyDescent="0.35">
      <c r="B535" s="4" t="str">
        <f>IF(Base_de_donnee_articles!B535="","",Base_de_donnee_articles!B535)</f>
        <v/>
      </c>
      <c r="C535" s="8">
        <f>Etat_des_stocks!G535*Base_de_donnee_articles!D535</f>
        <v>0</v>
      </c>
      <c r="D535" s="26">
        <f>Etat_des_stocks!F535*Base_de_donnee_articles!D535</f>
        <v>0</v>
      </c>
      <c r="E535" s="4" t="str">
        <f>IF(Base_de_donnee_articles!E535="","",Base_de_donnee_articles!E535)</f>
        <v/>
      </c>
    </row>
    <row r="536" spans="2:5" x14ac:dyDescent="0.35">
      <c r="B536" s="4" t="str">
        <f>IF(Base_de_donnee_articles!B536="","",Base_de_donnee_articles!B536)</f>
        <v/>
      </c>
      <c r="C536" s="8">
        <f>Etat_des_stocks!G536*Base_de_donnee_articles!D536</f>
        <v>0</v>
      </c>
      <c r="D536" s="26">
        <f>Etat_des_stocks!F536*Base_de_donnee_articles!D536</f>
        <v>0</v>
      </c>
      <c r="E536" s="4" t="str">
        <f>IF(Base_de_donnee_articles!E536="","",Base_de_donnee_articles!E536)</f>
        <v/>
      </c>
    </row>
    <row r="537" spans="2:5" x14ac:dyDescent="0.35">
      <c r="B537" s="4" t="str">
        <f>IF(Base_de_donnee_articles!B537="","",Base_de_donnee_articles!B537)</f>
        <v/>
      </c>
      <c r="C537" s="8">
        <f>Etat_des_stocks!G537*Base_de_donnee_articles!D537</f>
        <v>0</v>
      </c>
      <c r="D537" s="26">
        <f>Etat_des_stocks!F537*Base_de_donnee_articles!D537</f>
        <v>0</v>
      </c>
      <c r="E537" s="4" t="str">
        <f>IF(Base_de_donnee_articles!E537="","",Base_de_donnee_articles!E537)</f>
        <v/>
      </c>
    </row>
    <row r="538" spans="2:5" x14ac:dyDescent="0.35">
      <c r="B538" s="4" t="str">
        <f>IF(Base_de_donnee_articles!B538="","",Base_de_donnee_articles!B538)</f>
        <v/>
      </c>
      <c r="C538" s="8">
        <f>Etat_des_stocks!G538*Base_de_donnee_articles!D538</f>
        <v>0</v>
      </c>
      <c r="D538" s="26">
        <f>Etat_des_stocks!F538*Base_de_donnee_articles!D538</f>
        <v>0</v>
      </c>
      <c r="E538" s="4" t="str">
        <f>IF(Base_de_donnee_articles!E538="","",Base_de_donnee_articles!E538)</f>
        <v/>
      </c>
    </row>
    <row r="539" spans="2:5" x14ac:dyDescent="0.35">
      <c r="B539" s="4" t="str">
        <f>IF(Base_de_donnee_articles!B539="","",Base_de_donnee_articles!B539)</f>
        <v/>
      </c>
      <c r="C539" s="8">
        <f>Etat_des_stocks!G539*Base_de_donnee_articles!D539</f>
        <v>0</v>
      </c>
      <c r="D539" s="26">
        <f>Etat_des_stocks!F539*Base_de_donnee_articles!D539</f>
        <v>0</v>
      </c>
      <c r="E539" s="4" t="str">
        <f>IF(Base_de_donnee_articles!E539="","",Base_de_donnee_articles!E539)</f>
        <v/>
      </c>
    </row>
    <row r="540" spans="2:5" x14ac:dyDescent="0.35">
      <c r="B540" s="4" t="str">
        <f>IF(Base_de_donnee_articles!B540="","",Base_de_donnee_articles!B540)</f>
        <v/>
      </c>
      <c r="C540" s="8">
        <f>Etat_des_stocks!G540*Base_de_donnee_articles!D540</f>
        <v>0</v>
      </c>
      <c r="D540" s="26">
        <f>Etat_des_stocks!F540*Base_de_donnee_articles!D540</f>
        <v>0</v>
      </c>
      <c r="E540" s="4" t="str">
        <f>IF(Base_de_donnee_articles!E540="","",Base_de_donnee_articles!E540)</f>
        <v/>
      </c>
    </row>
    <row r="541" spans="2:5" x14ac:dyDescent="0.35">
      <c r="B541" s="4" t="str">
        <f>IF(Base_de_donnee_articles!B541="","",Base_de_donnee_articles!B541)</f>
        <v/>
      </c>
      <c r="C541" s="8">
        <f>Etat_des_stocks!G541*Base_de_donnee_articles!D541</f>
        <v>0</v>
      </c>
      <c r="D541" s="26">
        <f>Etat_des_stocks!F541*Base_de_donnee_articles!D541</f>
        <v>0</v>
      </c>
      <c r="E541" s="4" t="str">
        <f>IF(Base_de_donnee_articles!E541="","",Base_de_donnee_articles!E541)</f>
        <v/>
      </c>
    </row>
    <row r="542" spans="2:5" x14ac:dyDescent="0.35">
      <c r="B542" s="4" t="str">
        <f>IF(Base_de_donnee_articles!B542="","",Base_de_donnee_articles!B542)</f>
        <v/>
      </c>
      <c r="C542" s="8">
        <f>Etat_des_stocks!G542*Base_de_donnee_articles!D542</f>
        <v>0</v>
      </c>
      <c r="D542" s="26">
        <f>Etat_des_stocks!F542*Base_de_donnee_articles!D542</f>
        <v>0</v>
      </c>
      <c r="E542" s="4" t="str">
        <f>IF(Base_de_donnee_articles!E542="","",Base_de_donnee_articles!E542)</f>
        <v/>
      </c>
    </row>
    <row r="543" spans="2:5" x14ac:dyDescent="0.35">
      <c r="B543" s="4" t="str">
        <f>IF(Base_de_donnee_articles!B543="","",Base_de_donnee_articles!B543)</f>
        <v/>
      </c>
      <c r="C543" s="8">
        <f>Etat_des_stocks!G543*Base_de_donnee_articles!D543</f>
        <v>0</v>
      </c>
      <c r="D543" s="26">
        <f>Etat_des_stocks!F543*Base_de_donnee_articles!D543</f>
        <v>0</v>
      </c>
      <c r="E543" s="4" t="str">
        <f>IF(Base_de_donnee_articles!E543="","",Base_de_donnee_articles!E543)</f>
        <v/>
      </c>
    </row>
    <row r="544" spans="2:5" x14ac:dyDescent="0.35">
      <c r="B544" s="4" t="str">
        <f>IF(Base_de_donnee_articles!B544="","",Base_de_donnee_articles!B544)</f>
        <v/>
      </c>
      <c r="C544" s="8">
        <f>Etat_des_stocks!G544*Base_de_donnee_articles!D544</f>
        <v>0</v>
      </c>
      <c r="D544" s="26">
        <f>Etat_des_stocks!F544*Base_de_donnee_articles!D544</f>
        <v>0</v>
      </c>
      <c r="E544" s="4" t="str">
        <f>IF(Base_de_donnee_articles!E544="","",Base_de_donnee_articles!E544)</f>
        <v/>
      </c>
    </row>
    <row r="545" spans="2:5" x14ac:dyDescent="0.35">
      <c r="B545" s="4" t="str">
        <f>IF(Base_de_donnee_articles!B545="","",Base_de_donnee_articles!B545)</f>
        <v/>
      </c>
      <c r="C545" s="8">
        <f>Etat_des_stocks!G545*Base_de_donnee_articles!D545</f>
        <v>0</v>
      </c>
      <c r="D545" s="26">
        <f>Etat_des_stocks!F545*Base_de_donnee_articles!D545</f>
        <v>0</v>
      </c>
      <c r="E545" s="4" t="str">
        <f>IF(Base_de_donnee_articles!E545="","",Base_de_donnee_articles!E545)</f>
        <v/>
      </c>
    </row>
    <row r="546" spans="2:5" x14ac:dyDescent="0.35">
      <c r="B546" s="4" t="str">
        <f>IF(Base_de_donnee_articles!B546="","",Base_de_donnee_articles!B546)</f>
        <v/>
      </c>
      <c r="C546" s="8">
        <f>Etat_des_stocks!G546*Base_de_donnee_articles!D546</f>
        <v>0</v>
      </c>
      <c r="D546" s="26">
        <f>Etat_des_stocks!F546*Base_de_donnee_articles!D546</f>
        <v>0</v>
      </c>
      <c r="E546" s="4" t="str">
        <f>IF(Base_de_donnee_articles!E546="","",Base_de_donnee_articles!E546)</f>
        <v/>
      </c>
    </row>
    <row r="547" spans="2:5" x14ac:dyDescent="0.35">
      <c r="B547" s="4" t="str">
        <f>IF(Base_de_donnee_articles!B547="","",Base_de_donnee_articles!B547)</f>
        <v/>
      </c>
      <c r="C547" s="8">
        <f>Etat_des_stocks!G547*Base_de_donnee_articles!D547</f>
        <v>0</v>
      </c>
      <c r="D547" s="26">
        <f>Etat_des_stocks!F547*Base_de_donnee_articles!D547</f>
        <v>0</v>
      </c>
      <c r="E547" s="4" t="str">
        <f>IF(Base_de_donnee_articles!E547="","",Base_de_donnee_articles!E547)</f>
        <v/>
      </c>
    </row>
    <row r="548" spans="2:5" x14ac:dyDescent="0.35">
      <c r="B548" s="4" t="str">
        <f>IF(Base_de_donnee_articles!B548="","",Base_de_donnee_articles!B548)</f>
        <v/>
      </c>
      <c r="C548" s="8">
        <f>Etat_des_stocks!G548*Base_de_donnee_articles!D548</f>
        <v>0</v>
      </c>
      <c r="D548" s="26">
        <f>Etat_des_stocks!F548*Base_de_donnee_articles!D548</f>
        <v>0</v>
      </c>
      <c r="E548" s="4" t="str">
        <f>IF(Base_de_donnee_articles!E548="","",Base_de_donnee_articles!E548)</f>
        <v/>
      </c>
    </row>
    <row r="549" spans="2:5" x14ac:dyDescent="0.35">
      <c r="B549" s="4" t="str">
        <f>IF(Base_de_donnee_articles!B549="","",Base_de_donnee_articles!B549)</f>
        <v/>
      </c>
      <c r="C549" s="8">
        <f>Etat_des_stocks!G549*Base_de_donnee_articles!D549</f>
        <v>0</v>
      </c>
      <c r="D549" s="26">
        <f>Etat_des_stocks!F549*Base_de_donnee_articles!D549</f>
        <v>0</v>
      </c>
      <c r="E549" s="4" t="str">
        <f>IF(Base_de_donnee_articles!E549="","",Base_de_donnee_articles!E549)</f>
        <v/>
      </c>
    </row>
    <row r="550" spans="2:5" x14ac:dyDescent="0.35">
      <c r="B550" s="4" t="str">
        <f>IF(Base_de_donnee_articles!B550="","",Base_de_donnee_articles!B550)</f>
        <v/>
      </c>
      <c r="C550" s="8">
        <f>Etat_des_stocks!G550*Base_de_donnee_articles!D550</f>
        <v>0</v>
      </c>
      <c r="D550" s="26">
        <f>Etat_des_stocks!F550*Base_de_donnee_articles!D550</f>
        <v>0</v>
      </c>
      <c r="E550" s="4" t="str">
        <f>IF(Base_de_donnee_articles!E550="","",Base_de_donnee_articles!E550)</f>
        <v/>
      </c>
    </row>
    <row r="551" spans="2:5" x14ac:dyDescent="0.35">
      <c r="B551" s="4" t="str">
        <f>IF(Base_de_donnee_articles!B551="","",Base_de_donnee_articles!B551)</f>
        <v/>
      </c>
      <c r="C551" s="8">
        <f>Etat_des_stocks!G551*Base_de_donnee_articles!D551</f>
        <v>0</v>
      </c>
      <c r="D551" s="26">
        <f>Etat_des_stocks!F551*Base_de_donnee_articles!D551</f>
        <v>0</v>
      </c>
      <c r="E551" s="4" t="str">
        <f>IF(Base_de_donnee_articles!E551="","",Base_de_donnee_articles!E551)</f>
        <v/>
      </c>
    </row>
    <row r="552" spans="2:5" x14ac:dyDescent="0.35">
      <c r="B552" s="4" t="str">
        <f>IF(Base_de_donnee_articles!B552="","",Base_de_donnee_articles!B552)</f>
        <v/>
      </c>
      <c r="C552" s="8">
        <f>Etat_des_stocks!G552*Base_de_donnee_articles!D552</f>
        <v>0</v>
      </c>
      <c r="D552" s="26">
        <f>Etat_des_stocks!F552*Base_de_donnee_articles!D552</f>
        <v>0</v>
      </c>
      <c r="E552" s="4" t="str">
        <f>IF(Base_de_donnee_articles!E552="","",Base_de_donnee_articles!E552)</f>
        <v/>
      </c>
    </row>
    <row r="553" spans="2:5" x14ac:dyDescent="0.35">
      <c r="B553" s="4" t="str">
        <f>IF(Base_de_donnee_articles!B553="","",Base_de_donnee_articles!B553)</f>
        <v/>
      </c>
      <c r="C553" s="8">
        <f>Etat_des_stocks!G553*Base_de_donnee_articles!D553</f>
        <v>0</v>
      </c>
      <c r="D553" s="26">
        <f>Etat_des_stocks!F553*Base_de_donnee_articles!D553</f>
        <v>0</v>
      </c>
      <c r="E553" s="4" t="str">
        <f>IF(Base_de_donnee_articles!E553="","",Base_de_donnee_articles!E553)</f>
        <v/>
      </c>
    </row>
    <row r="554" spans="2:5" x14ac:dyDescent="0.35">
      <c r="B554" s="4" t="str">
        <f>IF(Base_de_donnee_articles!B554="","",Base_de_donnee_articles!B554)</f>
        <v/>
      </c>
      <c r="C554" s="8">
        <f>Etat_des_stocks!G554*Base_de_donnee_articles!D554</f>
        <v>0</v>
      </c>
      <c r="D554" s="26">
        <f>Etat_des_stocks!F554*Base_de_donnee_articles!D554</f>
        <v>0</v>
      </c>
      <c r="E554" s="4" t="str">
        <f>IF(Base_de_donnee_articles!E554="","",Base_de_donnee_articles!E554)</f>
        <v/>
      </c>
    </row>
    <row r="555" spans="2:5" x14ac:dyDescent="0.35">
      <c r="B555" s="4" t="str">
        <f>IF(Base_de_donnee_articles!B555="","",Base_de_donnee_articles!B555)</f>
        <v/>
      </c>
      <c r="C555" s="8">
        <f>Etat_des_stocks!G555*Base_de_donnee_articles!D555</f>
        <v>0</v>
      </c>
      <c r="D555" s="26">
        <f>Etat_des_stocks!F555*Base_de_donnee_articles!D555</f>
        <v>0</v>
      </c>
      <c r="E555" s="4" t="str">
        <f>IF(Base_de_donnee_articles!E555="","",Base_de_donnee_articles!E555)</f>
        <v/>
      </c>
    </row>
    <row r="556" spans="2:5" x14ac:dyDescent="0.35">
      <c r="B556" s="4" t="str">
        <f>IF(Base_de_donnee_articles!B556="","",Base_de_donnee_articles!B556)</f>
        <v/>
      </c>
      <c r="C556" s="8">
        <f>Etat_des_stocks!G556*Base_de_donnee_articles!D556</f>
        <v>0</v>
      </c>
      <c r="D556" s="26">
        <f>Etat_des_stocks!F556*Base_de_donnee_articles!D556</f>
        <v>0</v>
      </c>
      <c r="E556" s="4" t="str">
        <f>IF(Base_de_donnee_articles!E556="","",Base_de_donnee_articles!E556)</f>
        <v/>
      </c>
    </row>
    <row r="557" spans="2:5" x14ac:dyDescent="0.35">
      <c r="B557" s="4" t="str">
        <f>IF(Base_de_donnee_articles!B557="","",Base_de_donnee_articles!B557)</f>
        <v/>
      </c>
      <c r="C557" s="8">
        <f>Etat_des_stocks!G557*Base_de_donnee_articles!D557</f>
        <v>0</v>
      </c>
      <c r="D557" s="26">
        <f>Etat_des_stocks!F557*Base_de_donnee_articles!D557</f>
        <v>0</v>
      </c>
      <c r="E557" s="4" t="str">
        <f>IF(Base_de_donnee_articles!E557="","",Base_de_donnee_articles!E557)</f>
        <v/>
      </c>
    </row>
    <row r="558" spans="2:5" x14ac:dyDescent="0.35">
      <c r="B558" s="4" t="str">
        <f>IF(Base_de_donnee_articles!B558="","",Base_de_donnee_articles!B558)</f>
        <v/>
      </c>
      <c r="C558" s="8">
        <f>Etat_des_stocks!G558*Base_de_donnee_articles!D558</f>
        <v>0</v>
      </c>
      <c r="D558" s="26">
        <f>Etat_des_stocks!F558*Base_de_donnee_articles!D558</f>
        <v>0</v>
      </c>
      <c r="E558" s="4" t="str">
        <f>IF(Base_de_donnee_articles!E558="","",Base_de_donnee_articles!E558)</f>
        <v/>
      </c>
    </row>
    <row r="559" spans="2:5" x14ac:dyDescent="0.35">
      <c r="B559" s="4" t="str">
        <f>IF(Base_de_donnee_articles!B559="","",Base_de_donnee_articles!B559)</f>
        <v/>
      </c>
      <c r="C559" s="8">
        <f>Etat_des_stocks!G559*Base_de_donnee_articles!D559</f>
        <v>0</v>
      </c>
      <c r="D559" s="26">
        <f>Etat_des_stocks!F559*Base_de_donnee_articles!D559</f>
        <v>0</v>
      </c>
      <c r="E559" s="4" t="str">
        <f>IF(Base_de_donnee_articles!E559="","",Base_de_donnee_articles!E559)</f>
        <v/>
      </c>
    </row>
    <row r="560" spans="2:5" x14ac:dyDescent="0.35">
      <c r="B560" s="4" t="str">
        <f>IF(Base_de_donnee_articles!B560="","",Base_de_donnee_articles!B560)</f>
        <v/>
      </c>
      <c r="C560" s="8">
        <f>Etat_des_stocks!G560*Base_de_donnee_articles!D560</f>
        <v>0</v>
      </c>
      <c r="D560" s="26">
        <f>Etat_des_stocks!F560*Base_de_donnee_articles!D560</f>
        <v>0</v>
      </c>
      <c r="E560" s="4" t="str">
        <f>IF(Base_de_donnee_articles!E560="","",Base_de_donnee_articles!E560)</f>
        <v/>
      </c>
    </row>
    <row r="561" spans="2:5" x14ac:dyDescent="0.35">
      <c r="B561" s="4" t="str">
        <f>IF(Base_de_donnee_articles!B561="","",Base_de_donnee_articles!B561)</f>
        <v/>
      </c>
      <c r="C561" s="8">
        <f>Etat_des_stocks!G561*Base_de_donnee_articles!D561</f>
        <v>0</v>
      </c>
      <c r="D561" s="26">
        <f>Etat_des_stocks!F561*Base_de_donnee_articles!D561</f>
        <v>0</v>
      </c>
      <c r="E561" s="4" t="str">
        <f>IF(Base_de_donnee_articles!E561="","",Base_de_donnee_articles!E561)</f>
        <v/>
      </c>
    </row>
    <row r="562" spans="2:5" x14ac:dyDescent="0.35">
      <c r="B562" s="4" t="str">
        <f>IF(Base_de_donnee_articles!B562="","",Base_de_donnee_articles!B562)</f>
        <v/>
      </c>
      <c r="C562" s="8">
        <f>Etat_des_stocks!G562*Base_de_donnee_articles!D562</f>
        <v>0</v>
      </c>
      <c r="D562" s="26">
        <f>Etat_des_stocks!F562*Base_de_donnee_articles!D562</f>
        <v>0</v>
      </c>
      <c r="E562" s="4" t="str">
        <f>IF(Base_de_donnee_articles!E562="","",Base_de_donnee_articles!E562)</f>
        <v/>
      </c>
    </row>
    <row r="563" spans="2:5" x14ac:dyDescent="0.35">
      <c r="B563" s="4" t="str">
        <f>IF(Base_de_donnee_articles!B563="","",Base_de_donnee_articles!B563)</f>
        <v/>
      </c>
      <c r="C563" s="8">
        <f>Etat_des_stocks!G563*Base_de_donnee_articles!D563</f>
        <v>0</v>
      </c>
      <c r="D563" s="26">
        <f>Etat_des_stocks!F563*Base_de_donnee_articles!D563</f>
        <v>0</v>
      </c>
      <c r="E563" s="4" t="str">
        <f>IF(Base_de_donnee_articles!E563="","",Base_de_donnee_articles!E563)</f>
        <v/>
      </c>
    </row>
    <row r="564" spans="2:5" x14ac:dyDescent="0.35">
      <c r="B564" s="4" t="str">
        <f>IF(Base_de_donnee_articles!B564="","",Base_de_donnee_articles!B564)</f>
        <v/>
      </c>
      <c r="C564" s="8">
        <f>Etat_des_stocks!G564*Base_de_donnee_articles!D564</f>
        <v>0</v>
      </c>
      <c r="D564" s="26">
        <f>Etat_des_stocks!F564*Base_de_donnee_articles!D564</f>
        <v>0</v>
      </c>
      <c r="E564" s="4" t="str">
        <f>IF(Base_de_donnee_articles!E564="","",Base_de_donnee_articles!E564)</f>
        <v/>
      </c>
    </row>
    <row r="565" spans="2:5" x14ac:dyDescent="0.35">
      <c r="B565" s="4" t="str">
        <f>IF(Base_de_donnee_articles!B565="","",Base_de_donnee_articles!B565)</f>
        <v/>
      </c>
      <c r="C565" s="8">
        <f>Etat_des_stocks!G565*Base_de_donnee_articles!D565</f>
        <v>0</v>
      </c>
      <c r="D565" s="26">
        <f>Etat_des_stocks!F565*Base_de_donnee_articles!D565</f>
        <v>0</v>
      </c>
      <c r="E565" s="4" t="str">
        <f>IF(Base_de_donnee_articles!E565="","",Base_de_donnee_articles!E565)</f>
        <v/>
      </c>
    </row>
    <row r="566" spans="2:5" x14ac:dyDescent="0.35">
      <c r="B566" s="4" t="str">
        <f>IF(Base_de_donnee_articles!B566="","",Base_de_donnee_articles!B566)</f>
        <v/>
      </c>
      <c r="C566" s="8">
        <f>Etat_des_stocks!G566*Base_de_donnee_articles!D566</f>
        <v>0</v>
      </c>
      <c r="D566" s="26">
        <f>Etat_des_stocks!F566*Base_de_donnee_articles!D566</f>
        <v>0</v>
      </c>
      <c r="E566" s="4" t="str">
        <f>IF(Base_de_donnee_articles!E566="","",Base_de_donnee_articles!E566)</f>
        <v/>
      </c>
    </row>
    <row r="567" spans="2:5" x14ac:dyDescent="0.35">
      <c r="B567" s="4" t="str">
        <f>IF(Base_de_donnee_articles!B567="","",Base_de_donnee_articles!B567)</f>
        <v/>
      </c>
      <c r="C567" s="8">
        <f>Etat_des_stocks!G567*Base_de_donnee_articles!D567</f>
        <v>0</v>
      </c>
      <c r="D567" s="26">
        <f>Etat_des_stocks!F567*Base_de_donnee_articles!D567</f>
        <v>0</v>
      </c>
      <c r="E567" s="4" t="str">
        <f>IF(Base_de_donnee_articles!E567="","",Base_de_donnee_articles!E567)</f>
        <v/>
      </c>
    </row>
    <row r="568" spans="2:5" x14ac:dyDescent="0.35">
      <c r="B568" s="4" t="str">
        <f>IF(Base_de_donnee_articles!B568="","",Base_de_donnee_articles!B568)</f>
        <v/>
      </c>
      <c r="C568" s="8">
        <f>Etat_des_stocks!G568*Base_de_donnee_articles!D568</f>
        <v>0</v>
      </c>
      <c r="D568" s="26">
        <f>Etat_des_stocks!F568*Base_de_donnee_articles!D568</f>
        <v>0</v>
      </c>
      <c r="E568" s="4" t="str">
        <f>IF(Base_de_donnee_articles!E568="","",Base_de_donnee_articles!E568)</f>
        <v/>
      </c>
    </row>
    <row r="569" spans="2:5" x14ac:dyDescent="0.35">
      <c r="B569" s="4" t="str">
        <f>IF(Base_de_donnee_articles!B569="","",Base_de_donnee_articles!B569)</f>
        <v/>
      </c>
      <c r="C569" s="8">
        <f>Etat_des_stocks!G569*Base_de_donnee_articles!D569</f>
        <v>0</v>
      </c>
      <c r="D569" s="26">
        <f>Etat_des_stocks!F569*Base_de_donnee_articles!D569</f>
        <v>0</v>
      </c>
      <c r="E569" s="4" t="str">
        <f>IF(Base_de_donnee_articles!E569="","",Base_de_donnee_articles!E569)</f>
        <v/>
      </c>
    </row>
    <row r="570" spans="2:5" x14ac:dyDescent="0.35">
      <c r="B570" s="4" t="str">
        <f>IF(Base_de_donnee_articles!B570="","",Base_de_donnee_articles!B570)</f>
        <v/>
      </c>
      <c r="C570" s="8">
        <f>Etat_des_stocks!G570*Base_de_donnee_articles!D570</f>
        <v>0</v>
      </c>
      <c r="D570" s="26">
        <f>Etat_des_stocks!F570*Base_de_donnee_articles!D570</f>
        <v>0</v>
      </c>
      <c r="E570" s="4" t="str">
        <f>IF(Base_de_donnee_articles!E570="","",Base_de_donnee_articles!E570)</f>
        <v/>
      </c>
    </row>
    <row r="571" spans="2:5" x14ac:dyDescent="0.35">
      <c r="B571" s="4" t="str">
        <f>IF(Base_de_donnee_articles!B571="","",Base_de_donnee_articles!B571)</f>
        <v/>
      </c>
      <c r="C571" s="8">
        <f>Etat_des_stocks!G571*Base_de_donnee_articles!D571</f>
        <v>0</v>
      </c>
      <c r="D571" s="26">
        <f>Etat_des_stocks!F571*Base_de_donnee_articles!D571</f>
        <v>0</v>
      </c>
      <c r="E571" s="4" t="str">
        <f>IF(Base_de_donnee_articles!E571="","",Base_de_donnee_articles!E571)</f>
        <v/>
      </c>
    </row>
    <row r="572" spans="2:5" x14ac:dyDescent="0.35">
      <c r="B572" s="4" t="str">
        <f>IF(Base_de_donnee_articles!B572="","",Base_de_donnee_articles!B572)</f>
        <v/>
      </c>
      <c r="C572" s="8">
        <f>Etat_des_stocks!G572*Base_de_donnee_articles!D572</f>
        <v>0</v>
      </c>
      <c r="D572" s="26">
        <f>Etat_des_stocks!F572*Base_de_donnee_articles!D572</f>
        <v>0</v>
      </c>
      <c r="E572" s="4" t="str">
        <f>IF(Base_de_donnee_articles!E572="","",Base_de_donnee_articles!E572)</f>
        <v/>
      </c>
    </row>
    <row r="573" spans="2:5" x14ac:dyDescent="0.35">
      <c r="B573" s="4" t="str">
        <f>IF(Base_de_donnee_articles!B573="","",Base_de_donnee_articles!B573)</f>
        <v/>
      </c>
      <c r="C573" s="8">
        <f>Etat_des_stocks!G573*Base_de_donnee_articles!D573</f>
        <v>0</v>
      </c>
      <c r="D573" s="26">
        <f>Etat_des_stocks!F573*Base_de_donnee_articles!D573</f>
        <v>0</v>
      </c>
      <c r="E573" s="4" t="str">
        <f>IF(Base_de_donnee_articles!E573="","",Base_de_donnee_articles!E573)</f>
        <v/>
      </c>
    </row>
    <row r="574" spans="2:5" x14ac:dyDescent="0.35">
      <c r="B574" s="4" t="str">
        <f>IF(Base_de_donnee_articles!B574="","",Base_de_donnee_articles!B574)</f>
        <v/>
      </c>
      <c r="C574" s="8">
        <f>Etat_des_stocks!G574*Base_de_donnee_articles!D574</f>
        <v>0</v>
      </c>
      <c r="D574" s="26">
        <f>Etat_des_stocks!F574*Base_de_donnee_articles!D574</f>
        <v>0</v>
      </c>
      <c r="E574" s="4" t="str">
        <f>IF(Base_de_donnee_articles!E574="","",Base_de_donnee_articles!E574)</f>
        <v/>
      </c>
    </row>
    <row r="575" spans="2:5" x14ac:dyDescent="0.35">
      <c r="B575" s="4" t="str">
        <f>IF(Base_de_donnee_articles!B575="","",Base_de_donnee_articles!B575)</f>
        <v/>
      </c>
      <c r="C575" s="8">
        <f>Etat_des_stocks!G575*Base_de_donnee_articles!D575</f>
        <v>0</v>
      </c>
      <c r="D575" s="26">
        <f>Etat_des_stocks!F575*Base_de_donnee_articles!D575</f>
        <v>0</v>
      </c>
      <c r="E575" s="4" t="str">
        <f>IF(Base_de_donnee_articles!E575="","",Base_de_donnee_articles!E575)</f>
        <v/>
      </c>
    </row>
    <row r="576" spans="2:5" x14ac:dyDescent="0.35">
      <c r="B576" s="4" t="str">
        <f>IF(Base_de_donnee_articles!B576="","",Base_de_donnee_articles!B576)</f>
        <v/>
      </c>
      <c r="C576" s="8">
        <f>Etat_des_stocks!G576*Base_de_donnee_articles!D576</f>
        <v>0</v>
      </c>
      <c r="D576" s="26">
        <f>Etat_des_stocks!F576*Base_de_donnee_articles!D576</f>
        <v>0</v>
      </c>
      <c r="E576" s="4" t="str">
        <f>IF(Base_de_donnee_articles!E576="","",Base_de_donnee_articles!E576)</f>
        <v/>
      </c>
    </row>
    <row r="577" spans="2:5" x14ac:dyDescent="0.35">
      <c r="B577" s="4" t="str">
        <f>IF(Base_de_donnee_articles!B577="","",Base_de_donnee_articles!B577)</f>
        <v/>
      </c>
      <c r="C577" s="8">
        <f>Etat_des_stocks!G577*Base_de_donnee_articles!D577</f>
        <v>0</v>
      </c>
      <c r="D577" s="26">
        <f>Etat_des_stocks!F577*Base_de_donnee_articles!D577</f>
        <v>0</v>
      </c>
      <c r="E577" s="4" t="str">
        <f>IF(Base_de_donnee_articles!E577="","",Base_de_donnee_articles!E577)</f>
        <v/>
      </c>
    </row>
    <row r="578" spans="2:5" x14ac:dyDescent="0.35">
      <c r="B578" s="4" t="str">
        <f>IF(Base_de_donnee_articles!B578="","",Base_de_donnee_articles!B578)</f>
        <v/>
      </c>
      <c r="C578" s="8">
        <f>Etat_des_stocks!G578*Base_de_donnee_articles!D578</f>
        <v>0</v>
      </c>
      <c r="D578" s="26">
        <f>Etat_des_stocks!F578*Base_de_donnee_articles!D578</f>
        <v>0</v>
      </c>
      <c r="E578" s="4" t="str">
        <f>IF(Base_de_donnee_articles!E578="","",Base_de_donnee_articles!E578)</f>
        <v/>
      </c>
    </row>
    <row r="579" spans="2:5" x14ac:dyDescent="0.35">
      <c r="B579" s="4" t="str">
        <f>IF(Base_de_donnee_articles!B579="","",Base_de_donnee_articles!B579)</f>
        <v/>
      </c>
      <c r="C579" s="8">
        <f>Etat_des_stocks!G579*Base_de_donnee_articles!D579</f>
        <v>0</v>
      </c>
      <c r="D579" s="26">
        <f>Etat_des_stocks!F579*Base_de_donnee_articles!D579</f>
        <v>0</v>
      </c>
      <c r="E579" s="4" t="str">
        <f>IF(Base_de_donnee_articles!E579="","",Base_de_donnee_articles!E579)</f>
        <v/>
      </c>
    </row>
    <row r="580" spans="2:5" x14ac:dyDescent="0.35">
      <c r="B580" s="4" t="str">
        <f>IF(Base_de_donnee_articles!B580="","",Base_de_donnee_articles!B580)</f>
        <v/>
      </c>
      <c r="C580" s="8">
        <f>Etat_des_stocks!G580*Base_de_donnee_articles!D580</f>
        <v>0</v>
      </c>
      <c r="D580" s="26">
        <f>Etat_des_stocks!F580*Base_de_donnee_articles!D580</f>
        <v>0</v>
      </c>
      <c r="E580" s="4" t="str">
        <f>IF(Base_de_donnee_articles!E580="","",Base_de_donnee_articles!E580)</f>
        <v/>
      </c>
    </row>
    <row r="581" spans="2:5" x14ac:dyDescent="0.35">
      <c r="B581" s="4" t="str">
        <f>IF(Base_de_donnee_articles!B581="","",Base_de_donnee_articles!B581)</f>
        <v/>
      </c>
      <c r="C581" s="8">
        <f>Etat_des_stocks!G581*Base_de_donnee_articles!D581</f>
        <v>0</v>
      </c>
      <c r="D581" s="26">
        <f>Etat_des_stocks!F581*Base_de_donnee_articles!D581</f>
        <v>0</v>
      </c>
      <c r="E581" s="4" t="str">
        <f>IF(Base_de_donnee_articles!E581="","",Base_de_donnee_articles!E581)</f>
        <v/>
      </c>
    </row>
    <row r="582" spans="2:5" x14ac:dyDescent="0.35">
      <c r="B582" s="4" t="str">
        <f>IF(Base_de_donnee_articles!B582="","",Base_de_donnee_articles!B582)</f>
        <v/>
      </c>
      <c r="C582" s="8">
        <f>Etat_des_stocks!G582*Base_de_donnee_articles!D582</f>
        <v>0</v>
      </c>
      <c r="D582" s="26">
        <f>Etat_des_stocks!F582*Base_de_donnee_articles!D582</f>
        <v>0</v>
      </c>
      <c r="E582" s="4" t="str">
        <f>IF(Base_de_donnee_articles!E582="","",Base_de_donnee_articles!E582)</f>
        <v/>
      </c>
    </row>
    <row r="583" spans="2:5" x14ac:dyDescent="0.35">
      <c r="B583" s="4" t="str">
        <f>IF(Base_de_donnee_articles!B583="","",Base_de_donnee_articles!B583)</f>
        <v/>
      </c>
      <c r="C583" s="8">
        <f>Etat_des_stocks!G583*Base_de_donnee_articles!D583</f>
        <v>0</v>
      </c>
      <c r="D583" s="26">
        <f>Etat_des_stocks!F583*Base_de_donnee_articles!D583</f>
        <v>0</v>
      </c>
      <c r="E583" s="4" t="str">
        <f>IF(Base_de_donnee_articles!E583="","",Base_de_donnee_articles!E583)</f>
        <v/>
      </c>
    </row>
    <row r="584" spans="2:5" x14ac:dyDescent="0.35">
      <c r="B584" s="4" t="str">
        <f>IF(Base_de_donnee_articles!B584="","",Base_de_donnee_articles!B584)</f>
        <v/>
      </c>
      <c r="C584" s="8">
        <f>Etat_des_stocks!G584*Base_de_donnee_articles!D584</f>
        <v>0</v>
      </c>
      <c r="D584" s="26">
        <f>Etat_des_stocks!F584*Base_de_donnee_articles!D584</f>
        <v>0</v>
      </c>
      <c r="E584" s="4" t="str">
        <f>IF(Base_de_donnee_articles!E584="","",Base_de_donnee_articles!E584)</f>
        <v/>
      </c>
    </row>
    <row r="585" spans="2:5" x14ac:dyDescent="0.35">
      <c r="B585" s="4" t="str">
        <f>IF(Base_de_donnee_articles!B585="","",Base_de_donnee_articles!B585)</f>
        <v/>
      </c>
      <c r="C585" s="8">
        <f>Etat_des_stocks!G585*Base_de_donnee_articles!D585</f>
        <v>0</v>
      </c>
      <c r="D585" s="26">
        <f>Etat_des_stocks!F585*Base_de_donnee_articles!D585</f>
        <v>0</v>
      </c>
      <c r="E585" s="4" t="str">
        <f>IF(Base_de_donnee_articles!E585="","",Base_de_donnee_articles!E585)</f>
        <v/>
      </c>
    </row>
    <row r="586" spans="2:5" x14ac:dyDescent="0.35">
      <c r="B586" s="4" t="str">
        <f>IF(Base_de_donnee_articles!B586="","",Base_de_donnee_articles!B586)</f>
        <v/>
      </c>
      <c r="C586" s="8">
        <f>Etat_des_stocks!G586*Base_de_donnee_articles!D586</f>
        <v>0</v>
      </c>
      <c r="D586" s="26">
        <f>Etat_des_stocks!F586*Base_de_donnee_articles!D586</f>
        <v>0</v>
      </c>
      <c r="E586" s="4" t="str">
        <f>IF(Base_de_donnee_articles!E586="","",Base_de_donnee_articles!E586)</f>
        <v/>
      </c>
    </row>
    <row r="587" spans="2:5" x14ac:dyDescent="0.35">
      <c r="B587" s="4" t="str">
        <f>IF(Base_de_donnee_articles!B587="","",Base_de_donnee_articles!B587)</f>
        <v/>
      </c>
      <c r="C587" s="8">
        <f>Etat_des_stocks!G587*Base_de_donnee_articles!D587</f>
        <v>0</v>
      </c>
      <c r="D587" s="26">
        <f>Etat_des_stocks!F587*Base_de_donnee_articles!D587</f>
        <v>0</v>
      </c>
      <c r="E587" s="4" t="str">
        <f>IF(Base_de_donnee_articles!E587="","",Base_de_donnee_articles!E587)</f>
        <v/>
      </c>
    </row>
    <row r="588" spans="2:5" x14ac:dyDescent="0.35">
      <c r="B588" s="4" t="str">
        <f>IF(Base_de_donnee_articles!B588="","",Base_de_donnee_articles!B588)</f>
        <v/>
      </c>
      <c r="C588" s="8">
        <f>Etat_des_stocks!G588*Base_de_donnee_articles!D588</f>
        <v>0</v>
      </c>
      <c r="D588" s="26">
        <f>Etat_des_stocks!F588*Base_de_donnee_articles!D588</f>
        <v>0</v>
      </c>
      <c r="E588" s="4" t="str">
        <f>IF(Base_de_donnee_articles!E588="","",Base_de_donnee_articles!E588)</f>
        <v/>
      </c>
    </row>
    <row r="589" spans="2:5" x14ac:dyDescent="0.35">
      <c r="B589" s="4" t="str">
        <f>IF(Base_de_donnee_articles!B589="","",Base_de_donnee_articles!B589)</f>
        <v/>
      </c>
      <c r="C589" s="8">
        <f>Etat_des_stocks!G589*Base_de_donnee_articles!D589</f>
        <v>0</v>
      </c>
      <c r="D589" s="26">
        <f>Etat_des_stocks!F589*Base_de_donnee_articles!D589</f>
        <v>0</v>
      </c>
      <c r="E589" s="4" t="str">
        <f>IF(Base_de_donnee_articles!E589="","",Base_de_donnee_articles!E589)</f>
        <v/>
      </c>
    </row>
    <row r="590" spans="2:5" x14ac:dyDescent="0.35">
      <c r="B590" s="4" t="str">
        <f>IF(Base_de_donnee_articles!B590="","",Base_de_donnee_articles!B590)</f>
        <v/>
      </c>
      <c r="C590" s="8">
        <f>Etat_des_stocks!G590*Base_de_donnee_articles!D590</f>
        <v>0</v>
      </c>
      <c r="D590" s="26">
        <f>Etat_des_stocks!F590*Base_de_donnee_articles!D590</f>
        <v>0</v>
      </c>
      <c r="E590" s="4" t="str">
        <f>IF(Base_de_donnee_articles!E590="","",Base_de_donnee_articles!E590)</f>
        <v/>
      </c>
    </row>
    <row r="591" spans="2:5" x14ac:dyDescent="0.35">
      <c r="B591" s="4" t="str">
        <f>IF(Base_de_donnee_articles!B591="","",Base_de_donnee_articles!B591)</f>
        <v/>
      </c>
      <c r="C591" s="8">
        <f>Etat_des_stocks!G591*Base_de_donnee_articles!D591</f>
        <v>0</v>
      </c>
      <c r="D591" s="26">
        <f>Etat_des_stocks!F591*Base_de_donnee_articles!D591</f>
        <v>0</v>
      </c>
      <c r="E591" s="4" t="str">
        <f>IF(Base_de_donnee_articles!E591="","",Base_de_donnee_articles!E591)</f>
        <v/>
      </c>
    </row>
    <row r="592" spans="2:5" x14ac:dyDescent="0.35">
      <c r="B592" s="4" t="str">
        <f>IF(Base_de_donnee_articles!B592="","",Base_de_donnee_articles!B592)</f>
        <v/>
      </c>
      <c r="C592" s="8">
        <f>Etat_des_stocks!G592*Base_de_donnee_articles!D592</f>
        <v>0</v>
      </c>
      <c r="D592" s="26">
        <f>Etat_des_stocks!F592*Base_de_donnee_articles!D592</f>
        <v>0</v>
      </c>
      <c r="E592" s="4" t="str">
        <f>IF(Base_de_donnee_articles!E592="","",Base_de_donnee_articles!E592)</f>
        <v/>
      </c>
    </row>
    <row r="593" spans="2:5" x14ac:dyDescent="0.35">
      <c r="B593" s="4" t="str">
        <f>IF(Base_de_donnee_articles!B593="","",Base_de_donnee_articles!B593)</f>
        <v/>
      </c>
      <c r="C593" s="8">
        <f>Etat_des_stocks!G593*Base_de_donnee_articles!D593</f>
        <v>0</v>
      </c>
      <c r="D593" s="26">
        <f>Etat_des_stocks!F593*Base_de_donnee_articles!D593</f>
        <v>0</v>
      </c>
      <c r="E593" s="4" t="str">
        <f>IF(Base_de_donnee_articles!E593="","",Base_de_donnee_articles!E593)</f>
        <v/>
      </c>
    </row>
    <row r="594" spans="2:5" x14ac:dyDescent="0.35">
      <c r="B594" s="4" t="str">
        <f>IF(Base_de_donnee_articles!B594="","",Base_de_donnee_articles!B594)</f>
        <v/>
      </c>
      <c r="C594" s="8">
        <f>Etat_des_stocks!G594*Base_de_donnee_articles!D594</f>
        <v>0</v>
      </c>
      <c r="D594" s="26">
        <f>Etat_des_stocks!F594*Base_de_donnee_articles!D594</f>
        <v>0</v>
      </c>
      <c r="E594" s="4" t="str">
        <f>IF(Base_de_donnee_articles!E594="","",Base_de_donnee_articles!E594)</f>
        <v/>
      </c>
    </row>
    <row r="595" spans="2:5" x14ac:dyDescent="0.35">
      <c r="B595" s="4" t="str">
        <f>IF(Base_de_donnee_articles!B595="","",Base_de_donnee_articles!B595)</f>
        <v/>
      </c>
      <c r="C595" s="8">
        <f>Etat_des_stocks!G595*Base_de_donnee_articles!D595</f>
        <v>0</v>
      </c>
      <c r="D595" s="26">
        <f>Etat_des_stocks!F595*Base_de_donnee_articles!D595</f>
        <v>0</v>
      </c>
      <c r="E595" s="4" t="str">
        <f>IF(Base_de_donnee_articles!E595="","",Base_de_donnee_articles!E595)</f>
        <v/>
      </c>
    </row>
    <row r="596" spans="2:5" x14ac:dyDescent="0.35">
      <c r="B596" s="4" t="str">
        <f>IF(Base_de_donnee_articles!B596="","",Base_de_donnee_articles!B596)</f>
        <v/>
      </c>
      <c r="C596" s="8">
        <f>Etat_des_stocks!G596*Base_de_donnee_articles!D596</f>
        <v>0</v>
      </c>
      <c r="D596" s="26">
        <f>Etat_des_stocks!F596*Base_de_donnee_articles!D596</f>
        <v>0</v>
      </c>
      <c r="E596" s="4" t="str">
        <f>IF(Base_de_donnee_articles!E596="","",Base_de_donnee_articles!E596)</f>
        <v/>
      </c>
    </row>
    <row r="597" spans="2:5" x14ac:dyDescent="0.35">
      <c r="B597" s="4" t="str">
        <f>IF(Base_de_donnee_articles!B597="","",Base_de_donnee_articles!B597)</f>
        <v/>
      </c>
      <c r="C597" s="8">
        <f>Etat_des_stocks!G597*Base_de_donnee_articles!D597</f>
        <v>0</v>
      </c>
      <c r="D597" s="26">
        <f>Etat_des_stocks!F597*Base_de_donnee_articles!D597</f>
        <v>0</v>
      </c>
      <c r="E597" s="4" t="str">
        <f>IF(Base_de_donnee_articles!E597="","",Base_de_donnee_articles!E597)</f>
        <v/>
      </c>
    </row>
    <row r="598" spans="2:5" x14ac:dyDescent="0.35">
      <c r="B598" s="4" t="str">
        <f>IF(Base_de_donnee_articles!B598="","",Base_de_donnee_articles!B598)</f>
        <v/>
      </c>
      <c r="C598" s="8">
        <f>Etat_des_stocks!G598*Base_de_donnee_articles!D598</f>
        <v>0</v>
      </c>
      <c r="D598" s="26">
        <f>Etat_des_stocks!F598*Base_de_donnee_articles!D598</f>
        <v>0</v>
      </c>
      <c r="E598" s="4" t="str">
        <f>IF(Base_de_donnee_articles!E598="","",Base_de_donnee_articles!E598)</f>
        <v/>
      </c>
    </row>
    <row r="599" spans="2:5" x14ac:dyDescent="0.35">
      <c r="B599" s="4" t="str">
        <f>IF(Base_de_donnee_articles!B599="","",Base_de_donnee_articles!B599)</f>
        <v/>
      </c>
      <c r="C599" s="8">
        <f>Etat_des_stocks!G599*Base_de_donnee_articles!D599</f>
        <v>0</v>
      </c>
      <c r="D599" s="26">
        <f>Etat_des_stocks!F599*Base_de_donnee_articles!D599</f>
        <v>0</v>
      </c>
      <c r="E599" s="4" t="str">
        <f>IF(Base_de_donnee_articles!E599="","",Base_de_donnee_articles!E599)</f>
        <v/>
      </c>
    </row>
    <row r="600" spans="2:5" x14ac:dyDescent="0.35">
      <c r="B600" s="4" t="str">
        <f>IF(Base_de_donnee_articles!B600="","",Base_de_donnee_articles!B600)</f>
        <v/>
      </c>
      <c r="C600" s="8">
        <f>Etat_des_stocks!G600*Base_de_donnee_articles!D600</f>
        <v>0</v>
      </c>
      <c r="D600" s="26">
        <f>Etat_des_stocks!F600*Base_de_donnee_articles!D600</f>
        <v>0</v>
      </c>
      <c r="E600" s="4" t="str">
        <f>IF(Base_de_donnee_articles!E600="","",Base_de_donnee_articles!E600)</f>
        <v/>
      </c>
    </row>
    <row r="601" spans="2:5" x14ac:dyDescent="0.35">
      <c r="B601" s="4" t="str">
        <f>IF(Base_de_donnee_articles!B601="","",Base_de_donnee_articles!B601)</f>
        <v/>
      </c>
      <c r="C601" s="8">
        <f>Etat_des_stocks!G601*Base_de_donnee_articles!D601</f>
        <v>0</v>
      </c>
      <c r="D601" s="26">
        <f>Etat_des_stocks!F601*Base_de_donnee_articles!D601</f>
        <v>0</v>
      </c>
      <c r="E601" s="4" t="str">
        <f>IF(Base_de_donnee_articles!E601="","",Base_de_donnee_articles!E601)</f>
        <v/>
      </c>
    </row>
    <row r="602" spans="2:5" x14ac:dyDescent="0.35">
      <c r="B602" s="4" t="str">
        <f>IF(Base_de_donnee_articles!B602="","",Base_de_donnee_articles!B602)</f>
        <v/>
      </c>
      <c r="C602" s="8">
        <f>Etat_des_stocks!G602*Base_de_donnee_articles!D602</f>
        <v>0</v>
      </c>
      <c r="D602" s="26">
        <f>Etat_des_stocks!F602*Base_de_donnee_articles!D602</f>
        <v>0</v>
      </c>
      <c r="E602" s="4" t="str">
        <f>IF(Base_de_donnee_articles!E602="","",Base_de_donnee_articles!E602)</f>
        <v/>
      </c>
    </row>
    <row r="603" spans="2:5" x14ac:dyDescent="0.35">
      <c r="B603" s="4" t="str">
        <f>IF(Base_de_donnee_articles!B603="","",Base_de_donnee_articles!B603)</f>
        <v/>
      </c>
      <c r="C603" s="8">
        <f>Etat_des_stocks!G603*Base_de_donnee_articles!D603</f>
        <v>0</v>
      </c>
      <c r="D603" s="26">
        <f>Etat_des_stocks!F603*Base_de_donnee_articles!D603</f>
        <v>0</v>
      </c>
      <c r="E603" s="4" t="str">
        <f>IF(Base_de_donnee_articles!E603="","",Base_de_donnee_articles!E603)</f>
        <v/>
      </c>
    </row>
    <row r="604" spans="2:5" x14ac:dyDescent="0.35">
      <c r="B604" s="4" t="str">
        <f>IF(Base_de_donnee_articles!B604="","",Base_de_donnee_articles!B604)</f>
        <v/>
      </c>
      <c r="C604" s="8">
        <f>Etat_des_stocks!G604*Base_de_donnee_articles!D604</f>
        <v>0</v>
      </c>
      <c r="D604" s="26">
        <f>Etat_des_stocks!F604*Base_de_donnee_articles!D604</f>
        <v>0</v>
      </c>
      <c r="E604" s="4" t="str">
        <f>IF(Base_de_donnee_articles!E604="","",Base_de_donnee_articles!E604)</f>
        <v/>
      </c>
    </row>
    <row r="605" spans="2:5" x14ac:dyDescent="0.35">
      <c r="B605" s="4" t="str">
        <f>IF(Base_de_donnee_articles!B605="","",Base_de_donnee_articles!B605)</f>
        <v/>
      </c>
      <c r="C605" s="8">
        <f>Etat_des_stocks!G605*Base_de_donnee_articles!D605</f>
        <v>0</v>
      </c>
      <c r="D605" s="26">
        <f>Etat_des_stocks!F605*Base_de_donnee_articles!D605</f>
        <v>0</v>
      </c>
      <c r="E605" s="4" t="str">
        <f>IF(Base_de_donnee_articles!E605="","",Base_de_donnee_articles!E605)</f>
        <v/>
      </c>
    </row>
    <row r="606" spans="2:5" x14ac:dyDescent="0.35">
      <c r="B606" s="4" t="str">
        <f>IF(Base_de_donnee_articles!B606="","",Base_de_donnee_articles!B606)</f>
        <v/>
      </c>
      <c r="C606" s="8">
        <f>Etat_des_stocks!G606*Base_de_donnee_articles!D606</f>
        <v>0</v>
      </c>
      <c r="D606" s="26">
        <f>Etat_des_stocks!F606*Base_de_donnee_articles!D606</f>
        <v>0</v>
      </c>
      <c r="E606" s="4" t="str">
        <f>IF(Base_de_donnee_articles!E606="","",Base_de_donnee_articles!E606)</f>
        <v/>
      </c>
    </row>
    <row r="607" spans="2:5" x14ac:dyDescent="0.35">
      <c r="B607" s="4" t="str">
        <f>IF(Base_de_donnee_articles!B607="","",Base_de_donnee_articles!B607)</f>
        <v/>
      </c>
      <c r="C607" s="8">
        <f>Etat_des_stocks!G607*Base_de_donnee_articles!D607</f>
        <v>0</v>
      </c>
      <c r="D607" s="26">
        <f>Etat_des_stocks!F607*Base_de_donnee_articles!D607</f>
        <v>0</v>
      </c>
      <c r="E607" s="4" t="str">
        <f>IF(Base_de_donnee_articles!E607="","",Base_de_donnee_articles!E607)</f>
        <v/>
      </c>
    </row>
    <row r="608" spans="2:5" x14ac:dyDescent="0.35">
      <c r="B608" s="4" t="str">
        <f>IF(Base_de_donnee_articles!B608="","",Base_de_donnee_articles!B608)</f>
        <v/>
      </c>
      <c r="C608" s="8">
        <f>Etat_des_stocks!G608*Base_de_donnee_articles!D608</f>
        <v>0</v>
      </c>
      <c r="D608" s="26">
        <f>Etat_des_stocks!F608*Base_de_donnee_articles!D608</f>
        <v>0</v>
      </c>
      <c r="E608" s="4" t="str">
        <f>IF(Base_de_donnee_articles!E608="","",Base_de_donnee_articles!E608)</f>
        <v/>
      </c>
    </row>
    <row r="609" spans="2:5" x14ac:dyDescent="0.35">
      <c r="B609" s="4" t="str">
        <f>IF(Base_de_donnee_articles!B609="","",Base_de_donnee_articles!B609)</f>
        <v/>
      </c>
      <c r="C609" s="8">
        <f>Etat_des_stocks!G609*Base_de_donnee_articles!D609</f>
        <v>0</v>
      </c>
      <c r="D609" s="26">
        <f>Etat_des_stocks!F609*Base_de_donnee_articles!D609</f>
        <v>0</v>
      </c>
      <c r="E609" s="4" t="str">
        <f>IF(Base_de_donnee_articles!E609="","",Base_de_donnee_articles!E609)</f>
        <v/>
      </c>
    </row>
    <row r="610" spans="2:5" x14ac:dyDescent="0.35">
      <c r="B610" s="4" t="str">
        <f>IF(Base_de_donnee_articles!B610="","",Base_de_donnee_articles!B610)</f>
        <v/>
      </c>
      <c r="C610" s="8">
        <f>Etat_des_stocks!G610*Base_de_donnee_articles!D610</f>
        <v>0</v>
      </c>
      <c r="D610" s="26">
        <f>Etat_des_stocks!F610*Base_de_donnee_articles!D610</f>
        <v>0</v>
      </c>
      <c r="E610" s="4" t="str">
        <f>IF(Base_de_donnee_articles!E610="","",Base_de_donnee_articles!E610)</f>
        <v/>
      </c>
    </row>
    <row r="611" spans="2:5" x14ac:dyDescent="0.35">
      <c r="B611" s="4" t="str">
        <f>IF(Base_de_donnee_articles!B611="","",Base_de_donnee_articles!B611)</f>
        <v/>
      </c>
      <c r="C611" s="8">
        <f>Etat_des_stocks!G611*Base_de_donnee_articles!D611</f>
        <v>0</v>
      </c>
      <c r="D611" s="26">
        <f>Etat_des_stocks!F611*Base_de_donnee_articles!D611</f>
        <v>0</v>
      </c>
      <c r="E611" s="4" t="str">
        <f>IF(Base_de_donnee_articles!E611="","",Base_de_donnee_articles!E611)</f>
        <v/>
      </c>
    </row>
    <row r="612" spans="2:5" x14ac:dyDescent="0.35">
      <c r="B612" s="4" t="str">
        <f>IF(Base_de_donnee_articles!B612="","",Base_de_donnee_articles!B612)</f>
        <v/>
      </c>
      <c r="C612" s="8">
        <f>Etat_des_stocks!G612*Base_de_donnee_articles!D612</f>
        <v>0</v>
      </c>
      <c r="D612" s="26">
        <f>Etat_des_stocks!F612*Base_de_donnee_articles!D612</f>
        <v>0</v>
      </c>
      <c r="E612" s="4" t="str">
        <f>IF(Base_de_donnee_articles!E612="","",Base_de_donnee_articles!E612)</f>
        <v/>
      </c>
    </row>
    <row r="613" spans="2:5" x14ac:dyDescent="0.35">
      <c r="B613" s="4" t="str">
        <f>IF(Base_de_donnee_articles!B613="","",Base_de_donnee_articles!B613)</f>
        <v/>
      </c>
      <c r="C613" s="8">
        <f>Etat_des_stocks!G613*Base_de_donnee_articles!D613</f>
        <v>0</v>
      </c>
      <c r="D613" s="26">
        <f>Etat_des_stocks!F613*Base_de_donnee_articles!D613</f>
        <v>0</v>
      </c>
      <c r="E613" s="4" t="str">
        <f>IF(Base_de_donnee_articles!E613="","",Base_de_donnee_articles!E613)</f>
        <v/>
      </c>
    </row>
    <row r="614" spans="2:5" x14ac:dyDescent="0.35">
      <c r="B614" s="4" t="str">
        <f>IF(Base_de_donnee_articles!B614="","",Base_de_donnee_articles!B614)</f>
        <v/>
      </c>
      <c r="C614" s="8">
        <f>Etat_des_stocks!G614*Base_de_donnee_articles!D614</f>
        <v>0</v>
      </c>
      <c r="D614" s="26">
        <f>Etat_des_stocks!F614*Base_de_donnee_articles!D614</f>
        <v>0</v>
      </c>
      <c r="E614" s="4" t="str">
        <f>IF(Base_de_donnee_articles!E614="","",Base_de_donnee_articles!E614)</f>
        <v/>
      </c>
    </row>
    <row r="615" spans="2:5" x14ac:dyDescent="0.35">
      <c r="B615" s="4" t="str">
        <f>IF(Base_de_donnee_articles!B615="","",Base_de_donnee_articles!B615)</f>
        <v/>
      </c>
      <c r="C615" s="8">
        <f>Etat_des_stocks!G615*Base_de_donnee_articles!D615</f>
        <v>0</v>
      </c>
      <c r="D615" s="26">
        <f>Etat_des_stocks!F615*Base_de_donnee_articles!D615</f>
        <v>0</v>
      </c>
      <c r="E615" s="4" t="str">
        <f>IF(Base_de_donnee_articles!E615="","",Base_de_donnee_articles!E615)</f>
        <v/>
      </c>
    </row>
    <row r="616" spans="2:5" x14ac:dyDescent="0.35">
      <c r="B616" s="4" t="str">
        <f>IF(Base_de_donnee_articles!B616="","",Base_de_donnee_articles!B616)</f>
        <v/>
      </c>
      <c r="C616" s="8">
        <f>Etat_des_stocks!G616*Base_de_donnee_articles!D616</f>
        <v>0</v>
      </c>
      <c r="D616" s="26">
        <f>Etat_des_stocks!F616*Base_de_donnee_articles!D616</f>
        <v>0</v>
      </c>
      <c r="E616" s="4" t="str">
        <f>IF(Base_de_donnee_articles!E616="","",Base_de_donnee_articles!E616)</f>
        <v/>
      </c>
    </row>
    <row r="617" spans="2:5" x14ac:dyDescent="0.35">
      <c r="B617" s="4" t="str">
        <f>IF(Base_de_donnee_articles!B617="","",Base_de_donnee_articles!B617)</f>
        <v/>
      </c>
      <c r="C617" s="8">
        <f>Etat_des_stocks!G617*Base_de_donnee_articles!D617</f>
        <v>0</v>
      </c>
      <c r="D617" s="26">
        <f>Etat_des_stocks!F617*Base_de_donnee_articles!D617</f>
        <v>0</v>
      </c>
      <c r="E617" s="4" t="str">
        <f>IF(Base_de_donnee_articles!E617="","",Base_de_donnee_articles!E617)</f>
        <v/>
      </c>
    </row>
    <row r="618" spans="2:5" x14ac:dyDescent="0.35">
      <c r="B618" s="4" t="str">
        <f>IF(Base_de_donnee_articles!B618="","",Base_de_donnee_articles!B618)</f>
        <v/>
      </c>
      <c r="C618" s="8">
        <f>Etat_des_stocks!G618*Base_de_donnee_articles!D618</f>
        <v>0</v>
      </c>
      <c r="D618" s="26">
        <f>Etat_des_stocks!F618*Base_de_donnee_articles!D618</f>
        <v>0</v>
      </c>
      <c r="E618" s="4" t="str">
        <f>IF(Base_de_donnee_articles!E618="","",Base_de_donnee_articles!E618)</f>
        <v/>
      </c>
    </row>
    <row r="619" spans="2:5" x14ac:dyDescent="0.35">
      <c r="B619" s="4" t="str">
        <f>IF(Base_de_donnee_articles!B619="","",Base_de_donnee_articles!B619)</f>
        <v/>
      </c>
      <c r="C619" s="8">
        <f>Etat_des_stocks!G619*Base_de_donnee_articles!D619</f>
        <v>0</v>
      </c>
      <c r="D619" s="26">
        <f>Etat_des_stocks!F619*Base_de_donnee_articles!D619</f>
        <v>0</v>
      </c>
      <c r="E619" s="4" t="str">
        <f>IF(Base_de_donnee_articles!E619="","",Base_de_donnee_articles!E619)</f>
        <v/>
      </c>
    </row>
    <row r="620" spans="2:5" x14ac:dyDescent="0.35">
      <c r="B620" s="4" t="str">
        <f>IF(Base_de_donnee_articles!B620="","",Base_de_donnee_articles!B620)</f>
        <v/>
      </c>
      <c r="C620" s="8">
        <f>Etat_des_stocks!G620*Base_de_donnee_articles!D620</f>
        <v>0</v>
      </c>
      <c r="D620" s="26">
        <f>Etat_des_stocks!F620*Base_de_donnee_articles!D620</f>
        <v>0</v>
      </c>
      <c r="E620" s="4" t="str">
        <f>IF(Base_de_donnee_articles!E620="","",Base_de_donnee_articles!E620)</f>
        <v/>
      </c>
    </row>
    <row r="621" spans="2:5" x14ac:dyDescent="0.35">
      <c r="B621" s="4" t="str">
        <f>IF(Base_de_donnee_articles!B621="","",Base_de_donnee_articles!B621)</f>
        <v/>
      </c>
      <c r="C621" s="8">
        <f>Etat_des_stocks!G621*Base_de_donnee_articles!D621</f>
        <v>0</v>
      </c>
      <c r="D621" s="26">
        <f>Etat_des_stocks!F621*Base_de_donnee_articles!D621</f>
        <v>0</v>
      </c>
      <c r="E621" s="4" t="str">
        <f>IF(Base_de_donnee_articles!E621="","",Base_de_donnee_articles!E621)</f>
        <v/>
      </c>
    </row>
    <row r="622" spans="2:5" x14ac:dyDescent="0.35">
      <c r="B622" s="4" t="str">
        <f>IF(Base_de_donnee_articles!B622="","",Base_de_donnee_articles!B622)</f>
        <v/>
      </c>
      <c r="C622" s="8">
        <f>Etat_des_stocks!G622*Base_de_donnee_articles!D622</f>
        <v>0</v>
      </c>
      <c r="D622" s="26">
        <f>Etat_des_stocks!F622*Base_de_donnee_articles!D622</f>
        <v>0</v>
      </c>
      <c r="E622" s="4" t="str">
        <f>IF(Base_de_donnee_articles!E622="","",Base_de_donnee_articles!E622)</f>
        <v/>
      </c>
    </row>
    <row r="623" spans="2:5" x14ac:dyDescent="0.35">
      <c r="B623" s="4" t="str">
        <f>IF(Base_de_donnee_articles!B623="","",Base_de_donnee_articles!B623)</f>
        <v/>
      </c>
      <c r="C623" s="8">
        <f>Etat_des_stocks!G623*Base_de_donnee_articles!D623</f>
        <v>0</v>
      </c>
      <c r="D623" s="26">
        <f>Etat_des_stocks!F623*Base_de_donnee_articles!D623</f>
        <v>0</v>
      </c>
      <c r="E623" s="4" t="str">
        <f>IF(Base_de_donnee_articles!E623="","",Base_de_donnee_articles!E623)</f>
        <v/>
      </c>
    </row>
    <row r="624" spans="2:5" x14ac:dyDescent="0.35">
      <c r="B624" s="4" t="str">
        <f>IF(Base_de_donnee_articles!B624="","",Base_de_donnee_articles!B624)</f>
        <v/>
      </c>
      <c r="C624" s="8">
        <f>Etat_des_stocks!G624*Base_de_donnee_articles!D624</f>
        <v>0</v>
      </c>
      <c r="D624" s="26">
        <f>Etat_des_stocks!F624*Base_de_donnee_articles!D624</f>
        <v>0</v>
      </c>
      <c r="E624" s="4" t="str">
        <f>IF(Base_de_donnee_articles!E624="","",Base_de_donnee_articles!E624)</f>
        <v/>
      </c>
    </row>
    <row r="625" spans="2:5" x14ac:dyDescent="0.35">
      <c r="B625" s="4" t="str">
        <f>IF(Base_de_donnee_articles!B625="","",Base_de_donnee_articles!B625)</f>
        <v/>
      </c>
      <c r="C625" s="8">
        <f>Etat_des_stocks!G625*Base_de_donnee_articles!D625</f>
        <v>0</v>
      </c>
      <c r="D625" s="26">
        <f>Etat_des_stocks!F625*Base_de_donnee_articles!D625</f>
        <v>0</v>
      </c>
      <c r="E625" s="4" t="str">
        <f>IF(Base_de_donnee_articles!E625="","",Base_de_donnee_articles!E625)</f>
        <v/>
      </c>
    </row>
    <row r="626" spans="2:5" x14ac:dyDescent="0.35">
      <c r="B626" s="4" t="str">
        <f>IF(Base_de_donnee_articles!B626="","",Base_de_donnee_articles!B626)</f>
        <v/>
      </c>
      <c r="C626" s="8">
        <f>Etat_des_stocks!G626*Base_de_donnee_articles!D626</f>
        <v>0</v>
      </c>
      <c r="D626" s="26">
        <f>Etat_des_stocks!F626*Base_de_donnee_articles!D626</f>
        <v>0</v>
      </c>
      <c r="E626" s="4" t="str">
        <f>IF(Base_de_donnee_articles!E626="","",Base_de_donnee_articles!E626)</f>
        <v/>
      </c>
    </row>
    <row r="627" spans="2:5" x14ac:dyDescent="0.35">
      <c r="B627" s="4" t="str">
        <f>IF(Base_de_donnee_articles!B627="","",Base_de_donnee_articles!B627)</f>
        <v/>
      </c>
      <c r="C627" s="8">
        <f>Etat_des_stocks!G627*Base_de_donnee_articles!D627</f>
        <v>0</v>
      </c>
      <c r="D627" s="26">
        <f>Etat_des_stocks!F627*Base_de_donnee_articles!D627</f>
        <v>0</v>
      </c>
      <c r="E627" s="4" t="str">
        <f>IF(Base_de_donnee_articles!E627="","",Base_de_donnee_articles!E627)</f>
        <v/>
      </c>
    </row>
    <row r="628" spans="2:5" x14ac:dyDescent="0.35">
      <c r="B628" s="4" t="str">
        <f>IF(Base_de_donnee_articles!B628="","",Base_de_donnee_articles!B628)</f>
        <v/>
      </c>
      <c r="C628" s="8">
        <f>Etat_des_stocks!G628*Base_de_donnee_articles!D628</f>
        <v>0</v>
      </c>
      <c r="D628" s="26">
        <f>Etat_des_stocks!F628*Base_de_donnee_articles!D628</f>
        <v>0</v>
      </c>
      <c r="E628" s="4" t="str">
        <f>IF(Base_de_donnee_articles!E628="","",Base_de_donnee_articles!E628)</f>
        <v/>
      </c>
    </row>
    <row r="629" spans="2:5" x14ac:dyDescent="0.35">
      <c r="B629" s="4" t="str">
        <f>IF(Base_de_donnee_articles!B629="","",Base_de_donnee_articles!B629)</f>
        <v/>
      </c>
      <c r="C629" s="8">
        <f>Etat_des_stocks!G629*Base_de_donnee_articles!D629</f>
        <v>0</v>
      </c>
      <c r="D629" s="26">
        <f>Etat_des_stocks!F629*Base_de_donnee_articles!D629</f>
        <v>0</v>
      </c>
      <c r="E629" s="4" t="str">
        <f>IF(Base_de_donnee_articles!E629="","",Base_de_donnee_articles!E629)</f>
        <v/>
      </c>
    </row>
    <row r="630" spans="2:5" x14ac:dyDescent="0.35">
      <c r="B630" s="4" t="str">
        <f>IF(Base_de_donnee_articles!B630="","",Base_de_donnee_articles!B630)</f>
        <v/>
      </c>
      <c r="C630" s="8">
        <f>Etat_des_stocks!G630*Base_de_donnee_articles!D630</f>
        <v>0</v>
      </c>
      <c r="D630" s="26">
        <f>Etat_des_stocks!F630*Base_de_donnee_articles!D630</f>
        <v>0</v>
      </c>
      <c r="E630" s="4" t="str">
        <f>IF(Base_de_donnee_articles!E630="","",Base_de_donnee_articles!E630)</f>
        <v/>
      </c>
    </row>
    <row r="631" spans="2:5" x14ac:dyDescent="0.35">
      <c r="B631" s="4" t="str">
        <f>IF(Base_de_donnee_articles!B631="","",Base_de_donnee_articles!B631)</f>
        <v/>
      </c>
      <c r="C631" s="8">
        <f>Etat_des_stocks!G631*Base_de_donnee_articles!D631</f>
        <v>0</v>
      </c>
      <c r="D631" s="26">
        <f>Etat_des_stocks!F631*Base_de_donnee_articles!D631</f>
        <v>0</v>
      </c>
      <c r="E631" s="4" t="str">
        <f>IF(Base_de_donnee_articles!E631="","",Base_de_donnee_articles!E631)</f>
        <v/>
      </c>
    </row>
    <row r="632" spans="2:5" x14ac:dyDescent="0.35">
      <c r="B632" s="4" t="str">
        <f>IF(Base_de_donnee_articles!B632="","",Base_de_donnee_articles!B632)</f>
        <v/>
      </c>
      <c r="C632" s="8">
        <f>Etat_des_stocks!G632*Base_de_donnee_articles!D632</f>
        <v>0</v>
      </c>
      <c r="D632" s="26">
        <f>Etat_des_stocks!F632*Base_de_donnee_articles!D632</f>
        <v>0</v>
      </c>
      <c r="E632" s="4" t="str">
        <f>IF(Base_de_donnee_articles!E632="","",Base_de_donnee_articles!E632)</f>
        <v/>
      </c>
    </row>
    <row r="633" spans="2:5" x14ac:dyDescent="0.35">
      <c r="B633" s="4" t="str">
        <f>IF(Base_de_donnee_articles!B633="","",Base_de_donnee_articles!B633)</f>
        <v/>
      </c>
      <c r="C633" s="8">
        <f>Etat_des_stocks!G633*Base_de_donnee_articles!D633</f>
        <v>0</v>
      </c>
      <c r="D633" s="26">
        <f>Etat_des_stocks!F633*Base_de_donnee_articles!D633</f>
        <v>0</v>
      </c>
      <c r="E633" s="4" t="str">
        <f>IF(Base_de_donnee_articles!E633="","",Base_de_donnee_articles!E633)</f>
        <v/>
      </c>
    </row>
    <row r="634" spans="2:5" x14ac:dyDescent="0.35">
      <c r="B634" s="4" t="str">
        <f>IF(Base_de_donnee_articles!B634="","",Base_de_donnee_articles!B634)</f>
        <v/>
      </c>
      <c r="C634" s="8">
        <f>Etat_des_stocks!G634*Base_de_donnee_articles!D634</f>
        <v>0</v>
      </c>
      <c r="D634" s="26">
        <f>Etat_des_stocks!F634*Base_de_donnee_articles!D634</f>
        <v>0</v>
      </c>
      <c r="E634" s="4" t="str">
        <f>IF(Base_de_donnee_articles!E634="","",Base_de_donnee_articles!E634)</f>
        <v/>
      </c>
    </row>
    <row r="635" spans="2:5" x14ac:dyDescent="0.35">
      <c r="B635" s="4" t="str">
        <f>IF(Base_de_donnee_articles!B635="","",Base_de_donnee_articles!B635)</f>
        <v/>
      </c>
      <c r="C635" s="8">
        <f>Etat_des_stocks!G635*Base_de_donnee_articles!D635</f>
        <v>0</v>
      </c>
      <c r="D635" s="26">
        <f>Etat_des_stocks!F635*Base_de_donnee_articles!D635</f>
        <v>0</v>
      </c>
      <c r="E635" s="4" t="str">
        <f>IF(Base_de_donnee_articles!E635="","",Base_de_donnee_articles!E635)</f>
        <v/>
      </c>
    </row>
    <row r="636" spans="2:5" x14ac:dyDescent="0.35">
      <c r="B636" s="4" t="str">
        <f>IF(Base_de_donnee_articles!B636="","",Base_de_donnee_articles!B636)</f>
        <v/>
      </c>
      <c r="C636" s="8">
        <f>Etat_des_stocks!G636*Base_de_donnee_articles!D636</f>
        <v>0</v>
      </c>
      <c r="D636" s="26">
        <f>Etat_des_stocks!F636*Base_de_donnee_articles!D636</f>
        <v>0</v>
      </c>
      <c r="E636" s="4" t="str">
        <f>IF(Base_de_donnee_articles!E636="","",Base_de_donnee_articles!E636)</f>
        <v/>
      </c>
    </row>
    <row r="637" spans="2:5" x14ac:dyDescent="0.35">
      <c r="B637" s="4" t="str">
        <f>IF(Base_de_donnee_articles!B637="","",Base_de_donnee_articles!B637)</f>
        <v/>
      </c>
      <c r="C637" s="8">
        <f>Etat_des_stocks!G637*Base_de_donnee_articles!D637</f>
        <v>0</v>
      </c>
      <c r="D637" s="26">
        <f>Etat_des_stocks!F637*Base_de_donnee_articles!D637</f>
        <v>0</v>
      </c>
      <c r="E637" s="4" t="str">
        <f>IF(Base_de_donnee_articles!E637="","",Base_de_donnee_articles!E637)</f>
        <v/>
      </c>
    </row>
    <row r="638" spans="2:5" x14ac:dyDescent="0.35">
      <c r="B638" s="4" t="str">
        <f>IF(Base_de_donnee_articles!B638="","",Base_de_donnee_articles!B638)</f>
        <v/>
      </c>
      <c r="C638" s="8">
        <f>Etat_des_stocks!G638*Base_de_donnee_articles!D638</f>
        <v>0</v>
      </c>
      <c r="D638" s="26">
        <f>Etat_des_stocks!F638*Base_de_donnee_articles!D638</f>
        <v>0</v>
      </c>
      <c r="E638" s="4" t="str">
        <f>IF(Base_de_donnee_articles!E638="","",Base_de_donnee_articles!E638)</f>
        <v/>
      </c>
    </row>
    <row r="639" spans="2:5" x14ac:dyDescent="0.35">
      <c r="B639" s="4" t="str">
        <f>IF(Base_de_donnee_articles!B639="","",Base_de_donnee_articles!B639)</f>
        <v/>
      </c>
      <c r="C639" s="8">
        <f>Etat_des_stocks!G639*Base_de_donnee_articles!D639</f>
        <v>0</v>
      </c>
      <c r="D639" s="26">
        <f>Etat_des_stocks!F639*Base_de_donnee_articles!D639</f>
        <v>0</v>
      </c>
      <c r="E639" s="4" t="str">
        <f>IF(Base_de_donnee_articles!E639="","",Base_de_donnee_articles!E639)</f>
        <v/>
      </c>
    </row>
    <row r="640" spans="2:5" x14ac:dyDescent="0.35">
      <c r="B640" s="4" t="str">
        <f>IF(Base_de_donnee_articles!B640="","",Base_de_donnee_articles!B640)</f>
        <v/>
      </c>
      <c r="C640" s="8">
        <f>Etat_des_stocks!G640*Base_de_donnee_articles!D640</f>
        <v>0</v>
      </c>
      <c r="D640" s="26">
        <f>Etat_des_stocks!F640*Base_de_donnee_articles!D640</f>
        <v>0</v>
      </c>
      <c r="E640" s="4" t="str">
        <f>IF(Base_de_donnee_articles!E640="","",Base_de_donnee_articles!E640)</f>
        <v/>
      </c>
    </row>
    <row r="641" spans="2:5" x14ac:dyDescent="0.35">
      <c r="B641" s="4" t="str">
        <f>IF(Base_de_donnee_articles!B641="","",Base_de_donnee_articles!B641)</f>
        <v/>
      </c>
      <c r="C641" s="8">
        <f>Etat_des_stocks!G641*Base_de_donnee_articles!D641</f>
        <v>0</v>
      </c>
      <c r="D641" s="26">
        <f>Etat_des_stocks!F641*Base_de_donnee_articles!D641</f>
        <v>0</v>
      </c>
      <c r="E641" s="4" t="str">
        <f>IF(Base_de_donnee_articles!E641="","",Base_de_donnee_articles!E641)</f>
        <v/>
      </c>
    </row>
    <row r="642" spans="2:5" x14ac:dyDescent="0.35">
      <c r="B642" s="4" t="str">
        <f>IF(Base_de_donnee_articles!B642="","",Base_de_donnee_articles!B642)</f>
        <v/>
      </c>
      <c r="C642" s="8">
        <f>Etat_des_stocks!G642*Base_de_donnee_articles!D642</f>
        <v>0</v>
      </c>
      <c r="D642" s="26">
        <f>Etat_des_stocks!F642*Base_de_donnee_articles!D642</f>
        <v>0</v>
      </c>
      <c r="E642" s="4" t="str">
        <f>IF(Base_de_donnee_articles!E642="","",Base_de_donnee_articles!E642)</f>
        <v/>
      </c>
    </row>
    <row r="643" spans="2:5" x14ac:dyDescent="0.35">
      <c r="B643" s="4" t="str">
        <f>IF(Base_de_donnee_articles!B643="","",Base_de_donnee_articles!B643)</f>
        <v/>
      </c>
      <c r="C643" s="8">
        <f>Etat_des_stocks!G643*Base_de_donnee_articles!D643</f>
        <v>0</v>
      </c>
      <c r="D643" s="26">
        <f>Etat_des_stocks!F643*Base_de_donnee_articles!D643</f>
        <v>0</v>
      </c>
      <c r="E643" s="4" t="str">
        <f>IF(Base_de_donnee_articles!E643="","",Base_de_donnee_articles!E643)</f>
        <v/>
      </c>
    </row>
    <row r="644" spans="2:5" x14ac:dyDescent="0.35">
      <c r="B644" s="4" t="str">
        <f>IF(Base_de_donnee_articles!B644="","",Base_de_donnee_articles!B644)</f>
        <v/>
      </c>
      <c r="C644" s="8">
        <f>Etat_des_stocks!G644*Base_de_donnee_articles!D644</f>
        <v>0</v>
      </c>
      <c r="D644" s="26">
        <f>Etat_des_stocks!F644*Base_de_donnee_articles!D644</f>
        <v>0</v>
      </c>
      <c r="E644" s="4" t="str">
        <f>IF(Base_de_donnee_articles!E644="","",Base_de_donnee_articles!E644)</f>
        <v/>
      </c>
    </row>
    <row r="645" spans="2:5" x14ac:dyDescent="0.35">
      <c r="B645" s="4" t="str">
        <f>IF(Base_de_donnee_articles!B645="","",Base_de_donnee_articles!B645)</f>
        <v/>
      </c>
      <c r="C645" s="8">
        <f>Etat_des_stocks!G645*Base_de_donnee_articles!D645</f>
        <v>0</v>
      </c>
      <c r="D645" s="26">
        <f>Etat_des_stocks!F645*Base_de_donnee_articles!D645</f>
        <v>0</v>
      </c>
      <c r="E645" s="4" t="str">
        <f>IF(Base_de_donnee_articles!E645="","",Base_de_donnee_articles!E645)</f>
        <v/>
      </c>
    </row>
    <row r="646" spans="2:5" x14ac:dyDescent="0.35">
      <c r="B646" s="4" t="str">
        <f>IF(Base_de_donnee_articles!B646="","",Base_de_donnee_articles!B646)</f>
        <v/>
      </c>
      <c r="C646" s="8">
        <f>Etat_des_stocks!G646*Base_de_donnee_articles!D646</f>
        <v>0</v>
      </c>
      <c r="D646" s="26">
        <f>Etat_des_stocks!F646*Base_de_donnee_articles!D646</f>
        <v>0</v>
      </c>
      <c r="E646" s="4" t="str">
        <f>IF(Base_de_donnee_articles!E646="","",Base_de_donnee_articles!E646)</f>
        <v/>
      </c>
    </row>
    <row r="647" spans="2:5" x14ac:dyDescent="0.35">
      <c r="B647" s="4" t="str">
        <f>IF(Base_de_donnee_articles!B647="","",Base_de_donnee_articles!B647)</f>
        <v/>
      </c>
      <c r="C647" s="8">
        <f>Etat_des_stocks!G647*Base_de_donnee_articles!D647</f>
        <v>0</v>
      </c>
      <c r="D647" s="26">
        <f>Etat_des_stocks!F647*Base_de_donnee_articles!D647</f>
        <v>0</v>
      </c>
      <c r="E647" s="4" t="str">
        <f>IF(Base_de_donnee_articles!E647="","",Base_de_donnee_articles!E647)</f>
        <v/>
      </c>
    </row>
    <row r="648" spans="2:5" x14ac:dyDescent="0.35">
      <c r="B648" s="4" t="str">
        <f>IF(Base_de_donnee_articles!B648="","",Base_de_donnee_articles!B648)</f>
        <v/>
      </c>
      <c r="C648" s="8">
        <f>Etat_des_stocks!G648*Base_de_donnee_articles!D648</f>
        <v>0</v>
      </c>
      <c r="D648" s="26">
        <f>Etat_des_stocks!F648*Base_de_donnee_articles!D648</f>
        <v>0</v>
      </c>
      <c r="E648" s="4" t="str">
        <f>IF(Base_de_donnee_articles!E648="","",Base_de_donnee_articles!E648)</f>
        <v/>
      </c>
    </row>
    <row r="649" spans="2:5" x14ac:dyDescent="0.35">
      <c r="B649" s="4" t="str">
        <f>IF(Base_de_donnee_articles!B649="","",Base_de_donnee_articles!B649)</f>
        <v/>
      </c>
      <c r="C649" s="8">
        <f>Etat_des_stocks!G649*Base_de_donnee_articles!D649</f>
        <v>0</v>
      </c>
      <c r="D649" s="26">
        <f>Etat_des_stocks!F649*Base_de_donnee_articles!D649</f>
        <v>0</v>
      </c>
      <c r="E649" s="4" t="str">
        <f>IF(Base_de_donnee_articles!E649="","",Base_de_donnee_articles!E649)</f>
        <v/>
      </c>
    </row>
    <row r="650" spans="2:5" x14ac:dyDescent="0.35">
      <c r="B650" s="4" t="str">
        <f>IF(Base_de_donnee_articles!B650="","",Base_de_donnee_articles!B650)</f>
        <v/>
      </c>
      <c r="C650" s="8">
        <f>Etat_des_stocks!G650*Base_de_donnee_articles!D650</f>
        <v>0</v>
      </c>
      <c r="D650" s="26">
        <f>Etat_des_stocks!F650*Base_de_donnee_articles!D650</f>
        <v>0</v>
      </c>
      <c r="E650" s="4" t="str">
        <f>IF(Base_de_donnee_articles!E650="","",Base_de_donnee_articles!E650)</f>
        <v/>
      </c>
    </row>
    <row r="651" spans="2:5" x14ac:dyDescent="0.35">
      <c r="B651" s="4" t="str">
        <f>IF(Base_de_donnee_articles!B651="","",Base_de_donnee_articles!B651)</f>
        <v/>
      </c>
      <c r="C651" s="8">
        <f>Etat_des_stocks!G651*Base_de_donnee_articles!D651</f>
        <v>0</v>
      </c>
      <c r="D651" s="26">
        <f>Etat_des_stocks!F651*Base_de_donnee_articles!D651</f>
        <v>0</v>
      </c>
      <c r="E651" s="4" t="str">
        <f>IF(Base_de_donnee_articles!E651="","",Base_de_donnee_articles!E651)</f>
        <v/>
      </c>
    </row>
    <row r="652" spans="2:5" x14ac:dyDescent="0.35">
      <c r="B652" s="4" t="str">
        <f>IF(Base_de_donnee_articles!B652="","",Base_de_donnee_articles!B652)</f>
        <v/>
      </c>
      <c r="C652" s="8">
        <f>Etat_des_stocks!G652*Base_de_donnee_articles!D652</f>
        <v>0</v>
      </c>
      <c r="D652" s="26">
        <f>Etat_des_stocks!F652*Base_de_donnee_articles!D652</f>
        <v>0</v>
      </c>
      <c r="E652" s="4" t="str">
        <f>IF(Base_de_donnee_articles!E652="","",Base_de_donnee_articles!E652)</f>
        <v/>
      </c>
    </row>
    <row r="653" spans="2:5" x14ac:dyDescent="0.35">
      <c r="B653" s="4" t="str">
        <f>IF(Base_de_donnee_articles!B653="","",Base_de_donnee_articles!B653)</f>
        <v/>
      </c>
      <c r="C653" s="8">
        <f>Etat_des_stocks!G653*Base_de_donnee_articles!D653</f>
        <v>0</v>
      </c>
      <c r="D653" s="26">
        <f>Etat_des_stocks!F653*Base_de_donnee_articles!D653</f>
        <v>0</v>
      </c>
      <c r="E653" s="4" t="str">
        <f>IF(Base_de_donnee_articles!E653="","",Base_de_donnee_articles!E653)</f>
        <v/>
      </c>
    </row>
    <row r="654" spans="2:5" x14ac:dyDescent="0.35">
      <c r="B654" s="4" t="str">
        <f>IF(Base_de_donnee_articles!B654="","",Base_de_donnee_articles!B654)</f>
        <v/>
      </c>
      <c r="C654" s="8">
        <f>Etat_des_stocks!G654*Base_de_donnee_articles!D654</f>
        <v>0</v>
      </c>
      <c r="D654" s="26">
        <f>Etat_des_stocks!F654*Base_de_donnee_articles!D654</f>
        <v>0</v>
      </c>
      <c r="E654" s="4" t="str">
        <f>IF(Base_de_donnee_articles!E654="","",Base_de_donnee_articles!E654)</f>
        <v/>
      </c>
    </row>
    <row r="655" spans="2:5" x14ac:dyDescent="0.35">
      <c r="B655" s="4" t="str">
        <f>IF(Base_de_donnee_articles!B655="","",Base_de_donnee_articles!B655)</f>
        <v/>
      </c>
      <c r="C655" s="8">
        <f>Etat_des_stocks!G655*Base_de_donnee_articles!D655</f>
        <v>0</v>
      </c>
      <c r="D655" s="26">
        <f>Etat_des_stocks!F655*Base_de_donnee_articles!D655</f>
        <v>0</v>
      </c>
      <c r="E655" s="4" t="str">
        <f>IF(Base_de_donnee_articles!E655="","",Base_de_donnee_articles!E655)</f>
        <v/>
      </c>
    </row>
    <row r="656" spans="2:5" x14ac:dyDescent="0.35">
      <c r="B656" s="4" t="str">
        <f>IF(Base_de_donnee_articles!B656="","",Base_de_donnee_articles!B656)</f>
        <v/>
      </c>
      <c r="C656" s="8">
        <f>Etat_des_stocks!G656*Base_de_donnee_articles!D656</f>
        <v>0</v>
      </c>
      <c r="D656" s="26">
        <f>Etat_des_stocks!F656*Base_de_donnee_articles!D656</f>
        <v>0</v>
      </c>
      <c r="E656" s="4" t="str">
        <f>IF(Base_de_donnee_articles!E656="","",Base_de_donnee_articles!E656)</f>
        <v/>
      </c>
    </row>
    <row r="657" spans="2:5" x14ac:dyDescent="0.35">
      <c r="B657" s="4" t="str">
        <f>IF(Base_de_donnee_articles!B657="","",Base_de_donnee_articles!B657)</f>
        <v/>
      </c>
      <c r="C657" s="8">
        <f>Etat_des_stocks!G657*Base_de_donnee_articles!D657</f>
        <v>0</v>
      </c>
      <c r="D657" s="26">
        <f>Etat_des_stocks!F657*Base_de_donnee_articles!D657</f>
        <v>0</v>
      </c>
      <c r="E657" s="4" t="str">
        <f>IF(Base_de_donnee_articles!E657="","",Base_de_donnee_articles!E657)</f>
        <v/>
      </c>
    </row>
    <row r="658" spans="2:5" x14ac:dyDescent="0.35">
      <c r="B658" s="4" t="str">
        <f>IF(Base_de_donnee_articles!B658="","",Base_de_donnee_articles!B658)</f>
        <v/>
      </c>
      <c r="C658" s="8">
        <f>Etat_des_stocks!G658*Base_de_donnee_articles!D658</f>
        <v>0</v>
      </c>
      <c r="D658" s="26">
        <f>Etat_des_stocks!F658*Base_de_donnee_articles!D658</f>
        <v>0</v>
      </c>
      <c r="E658" s="4" t="str">
        <f>IF(Base_de_donnee_articles!E658="","",Base_de_donnee_articles!E658)</f>
        <v/>
      </c>
    </row>
    <row r="659" spans="2:5" x14ac:dyDescent="0.35">
      <c r="B659" s="4" t="str">
        <f>IF(Base_de_donnee_articles!B659="","",Base_de_donnee_articles!B659)</f>
        <v/>
      </c>
      <c r="C659" s="8">
        <f>Etat_des_stocks!G659*Base_de_donnee_articles!D659</f>
        <v>0</v>
      </c>
      <c r="D659" s="26">
        <f>Etat_des_stocks!F659*Base_de_donnee_articles!D659</f>
        <v>0</v>
      </c>
      <c r="E659" s="4" t="str">
        <f>IF(Base_de_donnee_articles!E659="","",Base_de_donnee_articles!E659)</f>
        <v/>
      </c>
    </row>
    <row r="660" spans="2:5" x14ac:dyDescent="0.35">
      <c r="B660" s="4" t="str">
        <f>IF(Base_de_donnee_articles!B660="","",Base_de_donnee_articles!B660)</f>
        <v/>
      </c>
      <c r="C660" s="8">
        <f>Etat_des_stocks!G660*Base_de_donnee_articles!D660</f>
        <v>0</v>
      </c>
      <c r="D660" s="26">
        <f>Etat_des_stocks!F660*Base_de_donnee_articles!D660</f>
        <v>0</v>
      </c>
      <c r="E660" s="4" t="str">
        <f>IF(Base_de_donnee_articles!E660="","",Base_de_donnee_articles!E660)</f>
        <v/>
      </c>
    </row>
    <row r="661" spans="2:5" x14ac:dyDescent="0.35">
      <c r="B661" s="4" t="str">
        <f>IF(Base_de_donnee_articles!B661="","",Base_de_donnee_articles!B661)</f>
        <v/>
      </c>
      <c r="C661" s="8">
        <f>Etat_des_stocks!G661*Base_de_donnee_articles!D661</f>
        <v>0</v>
      </c>
      <c r="D661" s="26">
        <f>Etat_des_stocks!F661*Base_de_donnee_articles!D661</f>
        <v>0</v>
      </c>
      <c r="E661" s="4" t="str">
        <f>IF(Base_de_donnee_articles!E661="","",Base_de_donnee_articles!E661)</f>
        <v/>
      </c>
    </row>
    <row r="662" spans="2:5" x14ac:dyDescent="0.35">
      <c r="B662" s="4" t="str">
        <f>IF(Base_de_donnee_articles!B662="","",Base_de_donnee_articles!B662)</f>
        <v/>
      </c>
      <c r="C662" s="8">
        <f>Etat_des_stocks!G662*Base_de_donnee_articles!D662</f>
        <v>0</v>
      </c>
      <c r="D662" s="26">
        <f>Etat_des_stocks!F662*Base_de_donnee_articles!D662</f>
        <v>0</v>
      </c>
      <c r="E662" s="4" t="str">
        <f>IF(Base_de_donnee_articles!E662="","",Base_de_donnee_articles!E662)</f>
        <v/>
      </c>
    </row>
    <row r="663" spans="2:5" x14ac:dyDescent="0.35">
      <c r="B663" s="4" t="str">
        <f>IF(Base_de_donnee_articles!B663="","",Base_de_donnee_articles!B663)</f>
        <v/>
      </c>
      <c r="C663" s="8">
        <f>Etat_des_stocks!G663*Base_de_donnee_articles!D663</f>
        <v>0</v>
      </c>
      <c r="D663" s="26">
        <f>Etat_des_stocks!F663*Base_de_donnee_articles!D663</f>
        <v>0</v>
      </c>
      <c r="E663" s="4" t="str">
        <f>IF(Base_de_donnee_articles!E663="","",Base_de_donnee_articles!E663)</f>
        <v/>
      </c>
    </row>
    <row r="664" spans="2:5" x14ac:dyDescent="0.35">
      <c r="B664" s="4" t="str">
        <f>IF(Base_de_donnee_articles!B664="","",Base_de_donnee_articles!B664)</f>
        <v/>
      </c>
      <c r="C664" s="8">
        <f>Etat_des_stocks!G664*Base_de_donnee_articles!D664</f>
        <v>0</v>
      </c>
      <c r="D664" s="26">
        <f>Etat_des_stocks!F664*Base_de_donnee_articles!D664</f>
        <v>0</v>
      </c>
      <c r="E664" s="4" t="str">
        <f>IF(Base_de_donnee_articles!E664="","",Base_de_donnee_articles!E664)</f>
        <v/>
      </c>
    </row>
    <row r="665" spans="2:5" x14ac:dyDescent="0.35">
      <c r="B665" s="4" t="str">
        <f>IF(Base_de_donnee_articles!B665="","",Base_de_donnee_articles!B665)</f>
        <v/>
      </c>
      <c r="C665" s="8">
        <f>Etat_des_stocks!G665*Base_de_donnee_articles!D665</f>
        <v>0</v>
      </c>
      <c r="D665" s="26">
        <f>Etat_des_stocks!F665*Base_de_donnee_articles!D665</f>
        <v>0</v>
      </c>
      <c r="E665" s="4" t="str">
        <f>IF(Base_de_donnee_articles!E665="","",Base_de_donnee_articles!E665)</f>
        <v/>
      </c>
    </row>
    <row r="666" spans="2:5" x14ac:dyDescent="0.35">
      <c r="B666" s="4" t="str">
        <f>IF(Base_de_donnee_articles!B666="","",Base_de_donnee_articles!B666)</f>
        <v/>
      </c>
      <c r="C666" s="8">
        <f>Etat_des_stocks!G666*Base_de_donnee_articles!D666</f>
        <v>0</v>
      </c>
      <c r="D666" s="26">
        <f>Etat_des_stocks!F666*Base_de_donnee_articles!D666</f>
        <v>0</v>
      </c>
      <c r="E666" s="4" t="str">
        <f>IF(Base_de_donnee_articles!E666="","",Base_de_donnee_articles!E666)</f>
        <v/>
      </c>
    </row>
    <row r="667" spans="2:5" x14ac:dyDescent="0.35">
      <c r="B667" s="4" t="str">
        <f>IF(Base_de_donnee_articles!B667="","",Base_de_donnee_articles!B667)</f>
        <v/>
      </c>
      <c r="C667" s="8">
        <f>Etat_des_stocks!G667*Base_de_donnee_articles!D667</f>
        <v>0</v>
      </c>
      <c r="D667" s="26">
        <f>Etat_des_stocks!F667*Base_de_donnee_articles!D667</f>
        <v>0</v>
      </c>
      <c r="E667" s="4" t="str">
        <f>IF(Base_de_donnee_articles!E667="","",Base_de_donnee_articles!E667)</f>
        <v/>
      </c>
    </row>
    <row r="668" spans="2:5" x14ac:dyDescent="0.35">
      <c r="B668" s="4" t="str">
        <f>IF(Base_de_donnee_articles!B668="","",Base_de_donnee_articles!B668)</f>
        <v/>
      </c>
      <c r="C668" s="8">
        <f>Etat_des_stocks!G668*Base_de_donnee_articles!D668</f>
        <v>0</v>
      </c>
      <c r="D668" s="26">
        <f>Etat_des_stocks!F668*Base_de_donnee_articles!D668</f>
        <v>0</v>
      </c>
      <c r="E668" s="4" t="str">
        <f>IF(Base_de_donnee_articles!E668="","",Base_de_donnee_articles!E668)</f>
        <v/>
      </c>
    </row>
    <row r="669" spans="2:5" x14ac:dyDescent="0.35">
      <c r="B669" s="4" t="str">
        <f>IF(Base_de_donnee_articles!B669="","",Base_de_donnee_articles!B669)</f>
        <v/>
      </c>
      <c r="C669" s="8">
        <f>Etat_des_stocks!G669*Base_de_donnee_articles!D669</f>
        <v>0</v>
      </c>
      <c r="D669" s="26">
        <f>Etat_des_stocks!F669*Base_de_donnee_articles!D669</f>
        <v>0</v>
      </c>
      <c r="E669" s="4" t="str">
        <f>IF(Base_de_donnee_articles!E669="","",Base_de_donnee_articles!E669)</f>
        <v/>
      </c>
    </row>
    <row r="670" spans="2:5" x14ac:dyDescent="0.35">
      <c r="B670" s="4" t="str">
        <f>IF(Base_de_donnee_articles!B670="","",Base_de_donnee_articles!B670)</f>
        <v/>
      </c>
      <c r="C670" s="8">
        <f>Etat_des_stocks!G670*Base_de_donnee_articles!D670</f>
        <v>0</v>
      </c>
      <c r="D670" s="26">
        <f>Etat_des_stocks!F670*Base_de_donnee_articles!D670</f>
        <v>0</v>
      </c>
      <c r="E670" s="4" t="str">
        <f>IF(Base_de_donnee_articles!E670="","",Base_de_donnee_articles!E670)</f>
        <v/>
      </c>
    </row>
    <row r="671" spans="2:5" x14ac:dyDescent="0.35">
      <c r="B671" s="4" t="str">
        <f>IF(Base_de_donnee_articles!B671="","",Base_de_donnee_articles!B671)</f>
        <v/>
      </c>
      <c r="C671" s="8">
        <f>Etat_des_stocks!G671*Base_de_donnee_articles!D671</f>
        <v>0</v>
      </c>
      <c r="D671" s="26">
        <f>Etat_des_stocks!F671*Base_de_donnee_articles!D671</f>
        <v>0</v>
      </c>
      <c r="E671" s="4" t="str">
        <f>IF(Base_de_donnee_articles!E671="","",Base_de_donnee_articles!E671)</f>
        <v/>
      </c>
    </row>
    <row r="672" spans="2:5" x14ac:dyDescent="0.35">
      <c r="B672" s="4" t="str">
        <f>IF(Base_de_donnee_articles!B672="","",Base_de_donnee_articles!B672)</f>
        <v/>
      </c>
      <c r="C672" s="8">
        <f>Etat_des_stocks!G672*Base_de_donnee_articles!D672</f>
        <v>0</v>
      </c>
      <c r="D672" s="26">
        <f>Etat_des_stocks!F672*Base_de_donnee_articles!D672</f>
        <v>0</v>
      </c>
      <c r="E672" s="4" t="str">
        <f>IF(Base_de_donnee_articles!E672="","",Base_de_donnee_articles!E672)</f>
        <v/>
      </c>
    </row>
    <row r="673" spans="2:5" x14ac:dyDescent="0.35">
      <c r="B673" s="4" t="str">
        <f>IF(Base_de_donnee_articles!B673="","",Base_de_donnee_articles!B673)</f>
        <v/>
      </c>
      <c r="C673" s="8">
        <f>Etat_des_stocks!G673*Base_de_donnee_articles!D673</f>
        <v>0</v>
      </c>
      <c r="D673" s="26">
        <f>Etat_des_stocks!F673*Base_de_donnee_articles!D673</f>
        <v>0</v>
      </c>
      <c r="E673" s="4" t="str">
        <f>IF(Base_de_donnee_articles!E673="","",Base_de_donnee_articles!E673)</f>
        <v/>
      </c>
    </row>
    <row r="674" spans="2:5" x14ac:dyDescent="0.35">
      <c r="B674" s="4" t="str">
        <f>IF(Base_de_donnee_articles!B674="","",Base_de_donnee_articles!B674)</f>
        <v/>
      </c>
      <c r="C674" s="8">
        <f>Etat_des_stocks!G674*Base_de_donnee_articles!D674</f>
        <v>0</v>
      </c>
      <c r="D674" s="26">
        <f>Etat_des_stocks!F674*Base_de_donnee_articles!D674</f>
        <v>0</v>
      </c>
      <c r="E674" s="4" t="str">
        <f>IF(Base_de_donnee_articles!E674="","",Base_de_donnee_articles!E674)</f>
        <v/>
      </c>
    </row>
    <row r="675" spans="2:5" x14ac:dyDescent="0.35">
      <c r="B675" s="4" t="str">
        <f>IF(Base_de_donnee_articles!B675="","",Base_de_donnee_articles!B675)</f>
        <v/>
      </c>
      <c r="C675" s="8">
        <f>Etat_des_stocks!G675*Base_de_donnee_articles!D675</f>
        <v>0</v>
      </c>
      <c r="D675" s="26">
        <f>Etat_des_stocks!F675*Base_de_donnee_articles!D675</f>
        <v>0</v>
      </c>
      <c r="E675" s="4" t="str">
        <f>IF(Base_de_donnee_articles!E675="","",Base_de_donnee_articles!E675)</f>
        <v/>
      </c>
    </row>
    <row r="676" spans="2:5" x14ac:dyDescent="0.35">
      <c r="B676" s="4" t="str">
        <f>IF(Base_de_donnee_articles!B676="","",Base_de_donnee_articles!B676)</f>
        <v/>
      </c>
      <c r="C676" s="8">
        <f>Etat_des_stocks!G676*Base_de_donnee_articles!D676</f>
        <v>0</v>
      </c>
      <c r="D676" s="26">
        <f>Etat_des_stocks!F676*Base_de_donnee_articles!D676</f>
        <v>0</v>
      </c>
      <c r="E676" s="4" t="str">
        <f>IF(Base_de_donnee_articles!E676="","",Base_de_donnee_articles!E676)</f>
        <v/>
      </c>
    </row>
    <row r="677" spans="2:5" x14ac:dyDescent="0.35">
      <c r="B677" s="4" t="str">
        <f>IF(Base_de_donnee_articles!B677="","",Base_de_donnee_articles!B677)</f>
        <v/>
      </c>
      <c r="C677" s="8">
        <f>Etat_des_stocks!G677*Base_de_donnee_articles!D677</f>
        <v>0</v>
      </c>
      <c r="D677" s="26">
        <f>Etat_des_stocks!F677*Base_de_donnee_articles!D677</f>
        <v>0</v>
      </c>
      <c r="E677" s="4" t="str">
        <f>IF(Base_de_donnee_articles!E677="","",Base_de_donnee_articles!E677)</f>
        <v/>
      </c>
    </row>
    <row r="678" spans="2:5" x14ac:dyDescent="0.35">
      <c r="B678" s="4" t="str">
        <f>IF(Base_de_donnee_articles!B678="","",Base_de_donnee_articles!B678)</f>
        <v/>
      </c>
      <c r="C678" s="8">
        <f>Etat_des_stocks!G678*Base_de_donnee_articles!D678</f>
        <v>0</v>
      </c>
      <c r="D678" s="26">
        <f>Etat_des_stocks!F678*Base_de_donnee_articles!D678</f>
        <v>0</v>
      </c>
      <c r="E678" s="4" t="str">
        <f>IF(Base_de_donnee_articles!E678="","",Base_de_donnee_articles!E678)</f>
        <v/>
      </c>
    </row>
    <row r="679" spans="2:5" x14ac:dyDescent="0.35">
      <c r="B679" s="4" t="str">
        <f>IF(Base_de_donnee_articles!B679="","",Base_de_donnee_articles!B679)</f>
        <v/>
      </c>
      <c r="C679" s="8">
        <f>Etat_des_stocks!G679*Base_de_donnee_articles!D679</f>
        <v>0</v>
      </c>
      <c r="D679" s="26">
        <f>Etat_des_stocks!F679*Base_de_donnee_articles!D679</f>
        <v>0</v>
      </c>
      <c r="E679" s="4" t="str">
        <f>IF(Base_de_donnee_articles!E679="","",Base_de_donnee_articles!E679)</f>
        <v/>
      </c>
    </row>
    <row r="680" spans="2:5" x14ac:dyDescent="0.35">
      <c r="B680" s="4" t="str">
        <f>IF(Base_de_donnee_articles!B680="","",Base_de_donnee_articles!B680)</f>
        <v/>
      </c>
      <c r="C680" s="8">
        <f>Etat_des_stocks!G680*Base_de_donnee_articles!D680</f>
        <v>0</v>
      </c>
      <c r="D680" s="26">
        <f>Etat_des_stocks!F680*Base_de_donnee_articles!D680</f>
        <v>0</v>
      </c>
      <c r="E680" s="4" t="str">
        <f>IF(Base_de_donnee_articles!E680="","",Base_de_donnee_articles!E680)</f>
        <v/>
      </c>
    </row>
    <row r="681" spans="2:5" x14ac:dyDescent="0.35">
      <c r="B681" s="4" t="str">
        <f>IF(Base_de_donnee_articles!B681="","",Base_de_donnee_articles!B681)</f>
        <v/>
      </c>
      <c r="C681" s="8">
        <f>Etat_des_stocks!G681*Base_de_donnee_articles!D681</f>
        <v>0</v>
      </c>
      <c r="D681" s="26">
        <f>Etat_des_stocks!F681*Base_de_donnee_articles!D681</f>
        <v>0</v>
      </c>
      <c r="E681" s="4" t="str">
        <f>IF(Base_de_donnee_articles!E681="","",Base_de_donnee_articles!E681)</f>
        <v/>
      </c>
    </row>
    <row r="682" spans="2:5" x14ac:dyDescent="0.35">
      <c r="B682" s="4" t="str">
        <f>IF(Base_de_donnee_articles!B682="","",Base_de_donnee_articles!B682)</f>
        <v/>
      </c>
      <c r="C682" s="8">
        <f>Etat_des_stocks!G682*Base_de_donnee_articles!D682</f>
        <v>0</v>
      </c>
      <c r="D682" s="26">
        <f>Etat_des_stocks!F682*Base_de_donnee_articles!D682</f>
        <v>0</v>
      </c>
      <c r="E682" s="4" t="str">
        <f>IF(Base_de_donnee_articles!E682="","",Base_de_donnee_articles!E682)</f>
        <v/>
      </c>
    </row>
    <row r="683" spans="2:5" x14ac:dyDescent="0.35">
      <c r="B683" s="4" t="str">
        <f>IF(Base_de_donnee_articles!B683="","",Base_de_donnee_articles!B683)</f>
        <v/>
      </c>
      <c r="C683" s="8">
        <f>Etat_des_stocks!G683*Base_de_donnee_articles!D683</f>
        <v>0</v>
      </c>
      <c r="D683" s="26">
        <f>Etat_des_stocks!F683*Base_de_donnee_articles!D683</f>
        <v>0</v>
      </c>
      <c r="E683" s="4" t="str">
        <f>IF(Base_de_donnee_articles!E683="","",Base_de_donnee_articles!E683)</f>
        <v/>
      </c>
    </row>
    <row r="684" spans="2:5" x14ac:dyDescent="0.35">
      <c r="B684" s="4" t="str">
        <f>IF(Base_de_donnee_articles!B684="","",Base_de_donnee_articles!B684)</f>
        <v/>
      </c>
      <c r="C684" s="8">
        <f>Etat_des_stocks!G684*Base_de_donnee_articles!D684</f>
        <v>0</v>
      </c>
      <c r="D684" s="26">
        <f>Etat_des_stocks!F684*Base_de_donnee_articles!D684</f>
        <v>0</v>
      </c>
      <c r="E684" s="4" t="str">
        <f>IF(Base_de_donnee_articles!E684="","",Base_de_donnee_articles!E684)</f>
        <v/>
      </c>
    </row>
    <row r="685" spans="2:5" x14ac:dyDescent="0.35">
      <c r="B685" s="4" t="str">
        <f>IF(Base_de_donnee_articles!B685="","",Base_de_donnee_articles!B685)</f>
        <v/>
      </c>
      <c r="C685" s="8">
        <f>Etat_des_stocks!G685*Base_de_donnee_articles!D685</f>
        <v>0</v>
      </c>
      <c r="D685" s="26">
        <f>Etat_des_stocks!F685*Base_de_donnee_articles!D685</f>
        <v>0</v>
      </c>
      <c r="E685" s="4" t="str">
        <f>IF(Base_de_donnee_articles!E685="","",Base_de_donnee_articles!E685)</f>
        <v/>
      </c>
    </row>
    <row r="686" spans="2:5" x14ac:dyDescent="0.35">
      <c r="B686" s="4" t="str">
        <f>IF(Base_de_donnee_articles!B686="","",Base_de_donnee_articles!B686)</f>
        <v/>
      </c>
      <c r="C686" s="8">
        <f>Etat_des_stocks!G686*Base_de_donnee_articles!D686</f>
        <v>0</v>
      </c>
      <c r="D686" s="26">
        <f>Etat_des_stocks!F686*Base_de_donnee_articles!D686</f>
        <v>0</v>
      </c>
      <c r="E686" s="4" t="str">
        <f>IF(Base_de_donnee_articles!E686="","",Base_de_donnee_articles!E686)</f>
        <v/>
      </c>
    </row>
    <row r="687" spans="2:5" x14ac:dyDescent="0.35">
      <c r="B687" s="4" t="str">
        <f>IF(Base_de_donnee_articles!B687="","",Base_de_donnee_articles!B687)</f>
        <v/>
      </c>
      <c r="C687" s="8">
        <f>Etat_des_stocks!G687*Base_de_donnee_articles!D687</f>
        <v>0</v>
      </c>
      <c r="D687" s="26">
        <f>Etat_des_stocks!F687*Base_de_donnee_articles!D687</f>
        <v>0</v>
      </c>
      <c r="E687" s="4" t="str">
        <f>IF(Base_de_donnee_articles!E687="","",Base_de_donnee_articles!E687)</f>
        <v/>
      </c>
    </row>
    <row r="688" spans="2:5" x14ac:dyDescent="0.35">
      <c r="B688" s="4" t="str">
        <f>IF(Base_de_donnee_articles!B688="","",Base_de_donnee_articles!B688)</f>
        <v/>
      </c>
      <c r="C688" s="8">
        <f>Etat_des_stocks!G688*Base_de_donnee_articles!D688</f>
        <v>0</v>
      </c>
      <c r="D688" s="26">
        <f>Etat_des_stocks!F688*Base_de_donnee_articles!D688</f>
        <v>0</v>
      </c>
      <c r="E688" s="4" t="str">
        <f>IF(Base_de_donnee_articles!E688="","",Base_de_donnee_articles!E688)</f>
        <v/>
      </c>
    </row>
    <row r="689" spans="2:5" x14ac:dyDescent="0.35">
      <c r="B689" s="4" t="str">
        <f>IF(Base_de_donnee_articles!B689="","",Base_de_donnee_articles!B689)</f>
        <v/>
      </c>
      <c r="C689" s="8">
        <f>Etat_des_stocks!G689*Base_de_donnee_articles!D689</f>
        <v>0</v>
      </c>
      <c r="D689" s="26">
        <f>Etat_des_stocks!F689*Base_de_donnee_articles!D689</f>
        <v>0</v>
      </c>
      <c r="E689" s="4" t="str">
        <f>IF(Base_de_donnee_articles!E689="","",Base_de_donnee_articles!E689)</f>
        <v/>
      </c>
    </row>
    <row r="690" spans="2:5" x14ac:dyDescent="0.35">
      <c r="B690" s="4" t="str">
        <f>IF(Base_de_donnee_articles!B690="","",Base_de_donnee_articles!B690)</f>
        <v/>
      </c>
      <c r="C690" s="8">
        <f>Etat_des_stocks!G690*Base_de_donnee_articles!D690</f>
        <v>0</v>
      </c>
      <c r="D690" s="26">
        <f>Etat_des_stocks!F690*Base_de_donnee_articles!D690</f>
        <v>0</v>
      </c>
      <c r="E690" s="4" t="str">
        <f>IF(Base_de_donnee_articles!E690="","",Base_de_donnee_articles!E690)</f>
        <v/>
      </c>
    </row>
    <row r="691" spans="2:5" x14ac:dyDescent="0.35">
      <c r="B691" s="4" t="str">
        <f>IF(Base_de_donnee_articles!B691="","",Base_de_donnee_articles!B691)</f>
        <v/>
      </c>
      <c r="C691" s="8">
        <f>Etat_des_stocks!G691*Base_de_donnee_articles!D691</f>
        <v>0</v>
      </c>
      <c r="D691" s="26">
        <f>Etat_des_stocks!F691*Base_de_donnee_articles!D691</f>
        <v>0</v>
      </c>
      <c r="E691" s="4" t="str">
        <f>IF(Base_de_donnee_articles!E691="","",Base_de_donnee_articles!E691)</f>
        <v/>
      </c>
    </row>
    <row r="692" spans="2:5" x14ac:dyDescent="0.35">
      <c r="B692" s="4" t="str">
        <f>IF(Base_de_donnee_articles!B692="","",Base_de_donnee_articles!B692)</f>
        <v/>
      </c>
      <c r="C692" s="8">
        <f>Etat_des_stocks!G692*Base_de_donnee_articles!D692</f>
        <v>0</v>
      </c>
      <c r="D692" s="26">
        <f>Etat_des_stocks!F692*Base_de_donnee_articles!D692</f>
        <v>0</v>
      </c>
      <c r="E692" s="4" t="str">
        <f>IF(Base_de_donnee_articles!E692="","",Base_de_donnee_articles!E692)</f>
        <v/>
      </c>
    </row>
    <row r="693" spans="2:5" x14ac:dyDescent="0.35">
      <c r="B693" s="4" t="str">
        <f>IF(Base_de_donnee_articles!B693="","",Base_de_donnee_articles!B693)</f>
        <v/>
      </c>
      <c r="C693" s="8">
        <f>Etat_des_stocks!G693*Base_de_donnee_articles!D693</f>
        <v>0</v>
      </c>
      <c r="D693" s="26">
        <f>Etat_des_stocks!F693*Base_de_donnee_articles!D693</f>
        <v>0</v>
      </c>
      <c r="E693" s="4" t="str">
        <f>IF(Base_de_donnee_articles!E693="","",Base_de_donnee_articles!E693)</f>
        <v/>
      </c>
    </row>
    <row r="694" spans="2:5" x14ac:dyDescent="0.35">
      <c r="B694" s="4" t="str">
        <f>IF(Base_de_donnee_articles!B694="","",Base_de_donnee_articles!B694)</f>
        <v/>
      </c>
      <c r="C694" s="8">
        <f>Etat_des_stocks!G694*Base_de_donnee_articles!D694</f>
        <v>0</v>
      </c>
      <c r="D694" s="26">
        <f>Etat_des_stocks!F694*Base_de_donnee_articles!D694</f>
        <v>0</v>
      </c>
      <c r="E694" s="4" t="str">
        <f>IF(Base_de_donnee_articles!E694="","",Base_de_donnee_articles!E694)</f>
        <v/>
      </c>
    </row>
    <row r="695" spans="2:5" x14ac:dyDescent="0.35">
      <c r="B695" s="4" t="str">
        <f>IF(Base_de_donnee_articles!B695="","",Base_de_donnee_articles!B695)</f>
        <v/>
      </c>
      <c r="C695" s="8">
        <f>Etat_des_stocks!G695*Base_de_donnee_articles!D695</f>
        <v>0</v>
      </c>
      <c r="D695" s="26">
        <f>Etat_des_stocks!F695*Base_de_donnee_articles!D695</f>
        <v>0</v>
      </c>
      <c r="E695" s="4" t="str">
        <f>IF(Base_de_donnee_articles!E695="","",Base_de_donnee_articles!E695)</f>
        <v/>
      </c>
    </row>
    <row r="696" spans="2:5" x14ac:dyDescent="0.35">
      <c r="B696" s="4" t="str">
        <f>IF(Base_de_donnee_articles!B696="","",Base_de_donnee_articles!B696)</f>
        <v/>
      </c>
      <c r="C696" s="8">
        <f>Etat_des_stocks!G696*Base_de_donnee_articles!D696</f>
        <v>0</v>
      </c>
      <c r="D696" s="26">
        <f>Etat_des_stocks!F696*Base_de_donnee_articles!D696</f>
        <v>0</v>
      </c>
      <c r="E696" s="4" t="str">
        <f>IF(Base_de_donnee_articles!E696="","",Base_de_donnee_articles!E696)</f>
        <v/>
      </c>
    </row>
    <row r="697" spans="2:5" x14ac:dyDescent="0.35">
      <c r="B697" s="4" t="str">
        <f>IF(Base_de_donnee_articles!B697="","",Base_de_donnee_articles!B697)</f>
        <v/>
      </c>
      <c r="C697" s="8">
        <f>Etat_des_stocks!G697*Base_de_donnee_articles!D697</f>
        <v>0</v>
      </c>
      <c r="D697" s="26">
        <f>Etat_des_stocks!F697*Base_de_donnee_articles!D697</f>
        <v>0</v>
      </c>
      <c r="E697" s="4" t="str">
        <f>IF(Base_de_donnee_articles!E697="","",Base_de_donnee_articles!E697)</f>
        <v/>
      </c>
    </row>
    <row r="698" spans="2:5" x14ac:dyDescent="0.35">
      <c r="B698" s="4" t="str">
        <f>IF(Base_de_donnee_articles!B698="","",Base_de_donnee_articles!B698)</f>
        <v/>
      </c>
      <c r="C698" s="8">
        <f>Etat_des_stocks!G698*Base_de_donnee_articles!D698</f>
        <v>0</v>
      </c>
      <c r="D698" s="26">
        <f>Etat_des_stocks!F698*Base_de_donnee_articles!D698</f>
        <v>0</v>
      </c>
      <c r="E698" s="4" t="str">
        <f>IF(Base_de_donnee_articles!E698="","",Base_de_donnee_articles!E698)</f>
        <v/>
      </c>
    </row>
    <row r="699" spans="2:5" x14ac:dyDescent="0.35">
      <c r="B699" s="4" t="str">
        <f>IF(Base_de_donnee_articles!B699="","",Base_de_donnee_articles!B699)</f>
        <v/>
      </c>
      <c r="C699" s="8">
        <f>Etat_des_stocks!G699*Base_de_donnee_articles!D699</f>
        <v>0</v>
      </c>
      <c r="D699" s="26">
        <f>Etat_des_stocks!F699*Base_de_donnee_articles!D699</f>
        <v>0</v>
      </c>
      <c r="E699" s="4" t="str">
        <f>IF(Base_de_donnee_articles!E699="","",Base_de_donnee_articles!E699)</f>
        <v/>
      </c>
    </row>
    <row r="700" spans="2:5" x14ac:dyDescent="0.35">
      <c r="B700" s="4" t="str">
        <f>IF(Base_de_donnee_articles!B700="","",Base_de_donnee_articles!B700)</f>
        <v/>
      </c>
      <c r="C700" s="8">
        <f>Etat_des_stocks!G700*Base_de_donnee_articles!D700</f>
        <v>0</v>
      </c>
      <c r="D700" s="26">
        <f>Etat_des_stocks!F700*Base_de_donnee_articles!D700</f>
        <v>0</v>
      </c>
      <c r="E700" s="4" t="str">
        <f>IF(Base_de_donnee_articles!E700="","",Base_de_donnee_articles!E700)</f>
        <v/>
      </c>
    </row>
    <row r="701" spans="2:5" x14ac:dyDescent="0.35">
      <c r="B701" s="4" t="str">
        <f>IF(Base_de_donnee_articles!B701="","",Base_de_donnee_articles!B701)</f>
        <v/>
      </c>
      <c r="C701" s="8">
        <f>Etat_des_stocks!G701*Base_de_donnee_articles!D701</f>
        <v>0</v>
      </c>
      <c r="D701" s="26">
        <f>Etat_des_stocks!F701*Base_de_donnee_articles!D701</f>
        <v>0</v>
      </c>
      <c r="E701" s="4" t="str">
        <f>IF(Base_de_donnee_articles!E701="","",Base_de_donnee_articles!E701)</f>
        <v/>
      </c>
    </row>
    <row r="702" spans="2:5" x14ac:dyDescent="0.35">
      <c r="B702" s="4" t="str">
        <f>IF(Base_de_donnee_articles!B702="","",Base_de_donnee_articles!B702)</f>
        <v/>
      </c>
      <c r="C702" s="8">
        <f>Etat_des_stocks!G702*Base_de_donnee_articles!D702</f>
        <v>0</v>
      </c>
      <c r="D702" s="26">
        <f>Etat_des_stocks!F702*Base_de_donnee_articles!D702</f>
        <v>0</v>
      </c>
      <c r="E702" s="4" t="str">
        <f>IF(Base_de_donnee_articles!E702="","",Base_de_donnee_articles!E702)</f>
        <v/>
      </c>
    </row>
    <row r="703" spans="2:5" x14ac:dyDescent="0.35">
      <c r="B703" s="4" t="str">
        <f>IF(Base_de_donnee_articles!B703="","",Base_de_donnee_articles!B703)</f>
        <v/>
      </c>
      <c r="C703" s="8">
        <f>Etat_des_stocks!G703*Base_de_donnee_articles!D703</f>
        <v>0</v>
      </c>
      <c r="D703" s="26">
        <f>Etat_des_stocks!F703*Base_de_donnee_articles!D703</f>
        <v>0</v>
      </c>
      <c r="E703" s="4" t="str">
        <f>IF(Base_de_donnee_articles!E703="","",Base_de_donnee_articles!E703)</f>
        <v/>
      </c>
    </row>
    <row r="704" spans="2:5" x14ac:dyDescent="0.35">
      <c r="B704" s="4" t="str">
        <f>IF(Base_de_donnee_articles!B704="","",Base_de_donnee_articles!B704)</f>
        <v/>
      </c>
      <c r="C704" s="8">
        <f>Etat_des_stocks!G704*Base_de_donnee_articles!D704</f>
        <v>0</v>
      </c>
      <c r="D704" s="26">
        <f>Etat_des_stocks!F704*Base_de_donnee_articles!D704</f>
        <v>0</v>
      </c>
      <c r="E704" s="4" t="str">
        <f>IF(Base_de_donnee_articles!E704="","",Base_de_donnee_articles!E704)</f>
        <v/>
      </c>
    </row>
    <row r="705" spans="2:5" x14ac:dyDescent="0.35">
      <c r="B705" s="4" t="str">
        <f>IF(Base_de_donnee_articles!B705="","",Base_de_donnee_articles!B705)</f>
        <v/>
      </c>
      <c r="C705" s="8">
        <f>Etat_des_stocks!G705*Base_de_donnee_articles!D705</f>
        <v>0</v>
      </c>
      <c r="D705" s="26">
        <f>Etat_des_stocks!F705*Base_de_donnee_articles!D705</f>
        <v>0</v>
      </c>
      <c r="E705" s="4" t="str">
        <f>IF(Base_de_donnee_articles!E705="","",Base_de_donnee_articles!E705)</f>
        <v/>
      </c>
    </row>
    <row r="706" spans="2:5" x14ac:dyDescent="0.35">
      <c r="B706" s="4" t="str">
        <f>IF(Base_de_donnee_articles!B706="","",Base_de_donnee_articles!B706)</f>
        <v/>
      </c>
      <c r="C706" s="8">
        <f>Etat_des_stocks!G706*Base_de_donnee_articles!D706</f>
        <v>0</v>
      </c>
      <c r="D706" s="26">
        <f>Etat_des_stocks!F706*Base_de_donnee_articles!D706</f>
        <v>0</v>
      </c>
      <c r="E706" s="4" t="str">
        <f>IF(Base_de_donnee_articles!E706="","",Base_de_donnee_articles!E706)</f>
        <v/>
      </c>
    </row>
    <row r="707" spans="2:5" x14ac:dyDescent="0.35">
      <c r="B707" s="4" t="str">
        <f>IF(Base_de_donnee_articles!B707="","",Base_de_donnee_articles!B707)</f>
        <v/>
      </c>
      <c r="C707" s="8">
        <f>Etat_des_stocks!G707*Base_de_donnee_articles!D707</f>
        <v>0</v>
      </c>
      <c r="D707" s="26">
        <f>Etat_des_stocks!F707*Base_de_donnee_articles!D707</f>
        <v>0</v>
      </c>
      <c r="E707" s="4" t="str">
        <f>IF(Base_de_donnee_articles!E707="","",Base_de_donnee_articles!E707)</f>
        <v/>
      </c>
    </row>
    <row r="708" spans="2:5" x14ac:dyDescent="0.35">
      <c r="B708" s="4" t="str">
        <f>IF(Base_de_donnee_articles!B708="","",Base_de_donnee_articles!B708)</f>
        <v/>
      </c>
      <c r="C708" s="8">
        <f>Etat_des_stocks!G708*Base_de_donnee_articles!D708</f>
        <v>0</v>
      </c>
      <c r="D708" s="26">
        <f>Etat_des_stocks!F708*Base_de_donnee_articles!D708</f>
        <v>0</v>
      </c>
      <c r="E708" s="4" t="str">
        <f>IF(Base_de_donnee_articles!E708="","",Base_de_donnee_articles!E708)</f>
        <v/>
      </c>
    </row>
    <row r="709" spans="2:5" x14ac:dyDescent="0.35">
      <c r="B709" s="4" t="str">
        <f>IF(Base_de_donnee_articles!B709="","",Base_de_donnee_articles!B709)</f>
        <v/>
      </c>
      <c r="C709" s="8">
        <f>Etat_des_stocks!G709*Base_de_donnee_articles!D709</f>
        <v>0</v>
      </c>
      <c r="D709" s="26">
        <f>Etat_des_stocks!F709*Base_de_donnee_articles!D709</f>
        <v>0</v>
      </c>
      <c r="E709" s="4" t="str">
        <f>IF(Base_de_donnee_articles!E709="","",Base_de_donnee_articles!E709)</f>
        <v/>
      </c>
    </row>
    <row r="710" spans="2:5" x14ac:dyDescent="0.35">
      <c r="B710" s="4" t="str">
        <f>IF(Base_de_donnee_articles!B710="","",Base_de_donnee_articles!B710)</f>
        <v/>
      </c>
      <c r="C710" s="8">
        <f>Etat_des_stocks!G710*Base_de_donnee_articles!D710</f>
        <v>0</v>
      </c>
      <c r="D710" s="26">
        <f>Etat_des_stocks!F710*Base_de_donnee_articles!D710</f>
        <v>0</v>
      </c>
      <c r="E710" s="4" t="str">
        <f>IF(Base_de_donnee_articles!E710="","",Base_de_donnee_articles!E710)</f>
        <v/>
      </c>
    </row>
    <row r="711" spans="2:5" x14ac:dyDescent="0.35">
      <c r="B711" s="4" t="str">
        <f>IF(Base_de_donnee_articles!B711="","",Base_de_donnee_articles!B711)</f>
        <v/>
      </c>
      <c r="C711" s="8">
        <f>Etat_des_stocks!G711*Base_de_donnee_articles!D711</f>
        <v>0</v>
      </c>
      <c r="D711" s="26">
        <f>Etat_des_stocks!F711*Base_de_donnee_articles!D711</f>
        <v>0</v>
      </c>
      <c r="E711" s="4" t="str">
        <f>IF(Base_de_donnee_articles!E711="","",Base_de_donnee_articles!E711)</f>
        <v/>
      </c>
    </row>
    <row r="712" spans="2:5" x14ac:dyDescent="0.35">
      <c r="B712" s="4" t="str">
        <f>IF(Base_de_donnee_articles!B712="","",Base_de_donnee_articles!B712)</f>
        <v/>
      </c>
      <c r="C712" s="8">
        <f>Etat_des_stocks!G712*Base_de_donnee_articles!D712</f>
        <v>0</v>
      </c>
      <c r="D712" s="26">
        <f>Etat_des_stocks!F712*Base_de_donnee_articles!D712</f>
        <v>0</v>
      </c>
      <c r="E712" s="4" t="str">
        <f>IF(Base_de_donnee_articles!E712="","",Base_de_donnee_articles!E712)</f>
        <v/>
      </c>
    </row>
    <row r="713" spans="2:5" x14ac:dyDescent="0.35">
      <c r="B713" s="4" t="str">
        <f>IF(Base_de_donnee_articles!B713="","",Base_de_donnee_articles!B713)</f>
        <v/>
      </c>
      <c r="C713" s="8">
        <f>Etat_des_stocks!G713*Base_de_donnee_articles!D713</f>
        <v>0</v>
      </c>
      <c r="D713" s="26">
        <f>Etat_des_stocks!F713*Base_de_donnee_articles!D713</f>
        <v>0</v>
      </c>
      <c r="E713" s="4" t="str">
        <f>IF(Base_de_donnee_articles!E713="","",Base_de_donnee_articles!E713)</f>
        <v/>
      </c>
    </row>
    <row r="714" spans="2:5" x14ac:dyDescent="0.35">
      <c r="B714" s="4" t="str">
        <f>IF(Base_de_donnee_articles!B714="","",Base_de_donnee_articles!B714)</f>
        <v/>
      </c>
      <c r="C714" s="8">
        <f>Etat_des_stocks!G714*Base_de_donnee_articles!D714</f>
        <v>0</v>
      </c>
      <c r="D714" s="26">
        <f>Etat_des_stocks!F714*Base_de_donnee_articles!D714</f>
        <v>0</v>
      </c>
      <c r="E714" s="4" t="str">
        <f>IF(Base_de_donnee_articles!E714="","",Base_de_donnee_articles!E714)</f>
        <v/>
      </c>
    </row>
    <row r="715" spans="2:5" x14ac:dyDescent="0.35">
      <c r="B715" s="4" t="str">
        <f>IF(Base_de_donnee_articles!B715="","",Base_de_donnee_articles!B715)</f>
        <v/>
      </c>
      <c r="C715" s="8">
        <f>Etat_des_stocks!G715*Base_de_donnee_articles!D715</f>
        <v>0</v>
      </c>
      <c r="D715" s="26">
        <f>Etat_des_stocks!F715*Base_de_donnee_articles!D715</f>
        <v>0</v>
      </c>
      <c r="E715" s="4" t="str">
        <f>IF(Base_de_donnee_articles!E715="","",Base_de_donnee_articles!E715)</f>
        <v/>
      </c>
    </row>
    <row r="716" spans="2:5" x14ac:dyDescent="0.35">
      <c r="B716" s="4" t="str">
        <f>IF(Base_de_donnee_articles!B716="","",Base_de_donnee_articles!B716)</f>
        <v/>
      </c>
      <c r="C716" s="8">
        <f>Etat_des_stocks!G716*Base_de_donnee_articles!D716</f>
        <v>0</v>
      </c>
      <c r="D716" s="26">
        <f>Etat_des_stocks!F716*Base_de_donnee_articles!D716</f>
        <v>0</v>
      </c>
      <c r="E716" s="4" t="str">
        <f>IF(Base_de_donnee_articles!E716="","",Base_de_donnee_articles!E716)</f>
        <v/>
      </c>
    </row>
    <row r="717" spans="2:5" x14ac:dyDescent="0.35">
      <c r="B717" s="4" t="str">
        <f>IF(Base_de_donnee_articles!B717="","",Base_de_donnee_articles!B717)</f>
        <v/>
      </c>
      <c r="C717" s="8">
        <f>Etat_des_stocks!G717*Base_de_donnee_articles!D717</f>
        <v>0</v>
      </c>
      <c r="D717" s="26">
        <f>Etat_des_stocks!F717*Base_de_donnee_articles!D717</f>
        <v>0</v>
      </c>
      <c r="E717" s="4" t="str">
        <f>IF(Base_de_donnee_articles!E717="","",Base_de_donnee_articles!E717)</f>
        <v/>
      </c>
    </row>
    <row r="718" spans="2:5" x14ac:dyDescent="0.35">
      <c r="B718" s="4" t="str">
        <f>IF(Base_de_donnee_articles!B718="","",Base_de_donnee_articles!B718)</f>
        <v/>
      </c>
      <c r="C718" s="8">
        <f>Etat_des_stocks!G718*Base_de_donnee_articles!D718</f>
        <v>0</v>
      </c>
      <c r="D718" s="26">
        <f>Etat_des_stocks!F718*Base_de_donnee_articles!D718</f>
        <v>0</v>
      </c>
      <c r="E718" s="4" t="str">
        <f>IF(Base_de_donnee_articles!E718="","",Base_de_donnee_articles!E718)</f>
        <v/>
      </c>
    </row>
    <row r="719" spans="2:5" x14ac:dyDescent="0.35">
      <c r="B719" s="4" t="str">
        <f>IF(Base_de_donnee_articles!B719="","",Base_de_donnee_articles!B719)</f>
        <v/>
      </c>
      <c r="C719" s="8">
        <f>Etat_des_stocks!G719*Base_de_donnee_articles!D719</f>
        <v>0</v>
      </c>
      <c r="D719" s="26">
        <f>Etat_des_stocks!F719*Base_de_donnee_articles!D719</f>
        <v>0</v>
      </c>
      <c r="E719" s="4" t="str">
        <f>IF(Base_de_donnee_articles!E719="","",Base_de_donnee_articles!E719)</f>
        <v/>
      </c>
    </row>
    <row r="720" spans="2:5" x14ac:dyDescent="0.35">
      <c r="B720" s="4" t="str">
        <f>IF(Base_de_donnee_articles!B720="","",Base_de_donnee_articles!B720)</f>
        <v/>
      </c>
      <c r="C720" s="8">
        <f>Etat_des_stocks!G720*Base_de_donnee_articles!D720</f>
        <v>0</v>
      </c>
      <c r="D720" s="26">
        <f>Etat_des_stocks!F720*Base_de_donnee_articles!D720</f>
        <v>0</v>
      </c>
      <c r="E720" s="4" t="str">
        <f>IF(Base_de_donnee_articles!E720="","",Base_de_donnee_articles!E720)</f>
        <v/>
      </c>
    </row>
    <row r="721" spans="2:5" x14ac:dyDescent="0.35">
      <c r="B721" s="4" t="str">
        <f>IF(Base_de_donnee_articles!B721="","",Base_de_donnee_articles!B721)</f>
        <v/>
      </c>
      <c r="C721" s="8">
        <f>Etat_des_stocks!G721*Base_de_donnee_articles!D721</f>
        <v>0</v>
      </c>
      <c r="D721" s="26">
        <f>Etat_des_stocks!F721*Base_de_donnee_articles!D721</f>
        <v>0</v>
      </c>
      <c r="E721" s="4" t="str">
        <f>IF(Base_de_donnee_articles!E721="","",Base_de_donnee_articles!E721)</f>
        <v/>
      </c>
    </row>
    <row r="722" spans="2:5" x14ac:dyDescent="0.35">
      <c r="B722" s="4" t="str">
        <f>IF(Base_de_donnee_articles!B722="","",Base_de_donnee_articles!B722)</f>
        <v/>
      </c>
      <c r="C722" s="8">
        <f>Etat_des_stocks!G722*Base_de_donnee_articles!D722</f>
        <v>0</v>
      </c>
      <c r="D722" s="26">
        <f>Etat_des_stocks!F722*Base_de_donnee_articles!D722</f>
        <v>0</v>
      </c>
      <c r="E722" s="4" t="str">
        <f>IF(Base_de_donnee_articles!E722="","",Base_de_donnee_articles!E722)</f>
        <v/>
      </c>
    </row>
    <row r="723" spans="2:5" x14ac:dyDescent="0.35">
      <c r="B723" s="4" t="str">
        <f>IF(Base_de_donnee_articles!B723="","",Base_de_donnee_articles!B723)</f>
        <v/>
      </c>
      <c r="C723" s="8">
        <f>Etat_des_stocks!G723*Base_de_donnee_articles!D723</f>
        <v>0</v>
      </c>
      <c r="D723" s="26">
        <f>Etat_des_stocks!F723*Base_de_donnee_articles!D723</f>
        <v>0</v>
      </c>
      <c r="E723" s="4" t="str">
        <f>IF(Base_de_donnee_articles!E723="","",Base_de_donnee_articles!E723)</f>
        <v/>
      </c>
    </row>
    <row r="724" spans="2:5" x14ac:dyDescent="0.35">
      <c r="B724" s="4" t="str">
        <f>IF(Base_de_donnee_articles!B724="","",Base_de_donnee_articles!B724)</f>
        <v/>
      </c>
      <c r="C724" s="8">
        <f>Etat_des_stocks!G724*Base_de_donnee_articles!D724</f>
        <v>0</v>
      </c>
      <c r="D724" s="26">
        <f>Etat_des_stocks!F724*Base_de_donnee_articles!D724</f>
        <v>0</v>
      </c>
      <c r="E724" s="4" t="str">
        <f>IF(Base_de_donnee_articles!E724="","",Base_de_donnee_articles!E724)</f>
        <v/>
      </c>
    </row>
    <row r="725" spans="2:5" x14ac:dyDescent="0.35">
      <c r="B725" s="4" t="str">
        <f>IF(Base_de_donnee_articles!B725="","",Base_de_donnee_articles!B725)</f>
        <v/>
      </c>
      <c r="C725" s="8">
        <f>Etat_des_stocks!G725*Base_de_donnee_articles!D725</f>
        <v>0</v>
      </c>
      <c r="D725" s="26">
        <f>Etat_des_stocks!F725*Base_de_donnee_articles!D725</f>
        <v>0</v>
      </c>
      <c r="E725" s="4" t="str">
        <f>IF(Base_de_donnee_articles!E725="","",Base_de_donnee_articles!E725)</f>
        <v/>
      </c>
    </row>
    <row r="726" spans="2:5" x14ac:dyDescent="0.35">
      <c r="B726" s="4" t="str">
        <f>IF(Base_de_donnee_articles!B726="","",Base_de_donnee_articles!B726)</f>
        <v/>
      </c>
      <c r="C726" s="8">
        <f>Etat_des_stocks!G726*Base_de_donnee_articles!D726</f>
        <v>0</v>
      </c>
      <c r="D726" s="26">
        <f>Etat_des_stocks!F726*Base_de_donnee_articles!D726</f>
        <v>0</v>
      </c>
      <c r="E726" s="4" t="str">
        <f>IF(Base_de_donnee_articles!E726="","",Base_de_donnee_articles!E726)</f>
        <v/>
      </c>
    </row>
    <row r="727" spans="2:5" x14ac:dyDescent="0.35">
      <c r="B727" s="4" t="str">
        <f>IF(Base_de_donnee_articles!B727="","",Base_de_donnee_articles!B727)</f>
        <v/>
      </c>
      <c r="C727" s="8">
        <f>Etat_des_stocks!G727*Base_de_donnee_articles!D727</f>
        <v>0</v>
      </c>
      <c r="D727" s="26">
        <f>Etat_des_stocks!F727*Base_de_donnee_articles!D727</f>
        <v>0</v>
      </c>
      <c r="E727" s="4" t="str">
        <f>IF(Base_de_donnee_articles!E727="","",Base_de_donnee_articles!E727)</f>
        <v/>
      </c>
    </row>
    <row r="728" spans="2:5" x14ac:dyDescent="0.35">
      <c r="B728" s="4" t="str">
        <f>IF(Base_de_donnee_articles!B728="","",Base_de_donnee_articles!B728)</f>
        <v/>
      </c>
      <c r="C728" s="8">
        <f>Etat_des_stocks!G728*Base_de_donnee_articles!D728</f>
        <v>0</v>
      </c>
      <c r="D728" s="26">
        <f>Etat_des_stocks!F728*Base_de_donnee_articles!D728</f>
        <v>0</v>
      </c>
      <c r="E728" s="4" t="str">
        <f>IF(Base_de_donnee_articles!E728="","",Base_de_donnee_articles!E728)</f>
        <v/>
      </c>
    </row>
    <row r="729" spans="2:5" x14ac:dyDescent="0.35">
      <c r="B729" s="4" t="str">
        <f>IF(Base_de_donnee_articles!B729="","",Base_de_donnee_articles!B729)</f>
        <v/>
      </c>
      <c r="C729" s="8">
        <f>Etat_des_stocks!G729*Base_de_donnee_articles!D729</f>
        <v>0</v>
      </c>
      <c r="D729" s="26">
        <f>Etat_des_stocks!F729*Base_de_donnee_articles!D729</f>
        <v>0</v>
      </c>
      <c r="E729" s="4" t="str">
        <f>IF(Base_de_donnee_articles!E729="","",Base_de_donnee_articles!E729)</f>
        <v/>
      </c>
    </row>
    <row r="730" spans="2:5" x14ac:dyDescent="0.35">
      <c r="B730" s="4" t="str">
        <f>IF(Base_de_donnee_articles!B730="","",Base_de_donnee_articles!B730)</f>
        <v/>
      </c>
      <c r="C730" s="8">
        <f>Etat_des_stocks!G730*Base_de_donnee_articles!D730</f>
        <v>0</v>
      </c>
      <c r="D730" s="26">
        <f>Etat_des_stocks!F730*Base_de_donnee_articles!D730</f>
        <v>0</v>
      </c>
      <c r="E730" s="4" t="str">
        <f>IF(Base_de_donnee_articles!E730="","",Base_de_donnee_articles!E730)</f>
        <v/>
      </c>
    </row>
    <row r="731" spans="2:5" x14ac:dyDescent="0.35">
      <c r="B731" s="4" t="str">
        <f>IF(Base_de_donnee_articles!B731="","",Base_de_donnee_articles!B731)</f>
        <v/>
      </c>
      <c r="C731" s="8">
        <f>Etat_des_stocks!G731*Base_de_donnee_articles!D731</f>
        <v>0</v>
      </c>
      <c r="D731" s="26">
        <f>Etat_des_stocks!F731*Base_de_donnee_articles!D731</f>
        <v>0</v>
      </c>
      <c r="E731" s="4" t="str">
        <f>IF(Base_de_donnee_articles!E731="","",Base_de_donnee_articles!E731)</f>
        <v/>
      </c>
    </row>
    <row r="732" spans="2:5" x14ac:dyDescent="0.35">
      <c r="B732" s="4" t="str">
        <f>IF(Base_de_donnee_articles!B732="","",Base_de_donnee_articles!B732)</f>
        <v/>
      </c>
      <c r="C732" s="8">
        <f>Etat_des_stocks!G732*Base_de_donnee_articles!D732</f>
        <v>0</v>
      </c>
      <c r="D732" s="26">
        <f>Etat_des_stocks!F732*Base_de_donnee_articles!D732</f>
        <v>0</v>
      </c>
      <c r="E732" s="4" t="str">
        <f>IF(Base_de_donnee_articles!E732="","",Base_de_donnee_articles!E732)</f>
        <v/>
      </c>
    </row>
    <row r="733" spans="2:5" x14ac:dyDescent="0.35">
      <c r="B733" s="4" t="str">
        <f>IF(Base_de_donnee_articles!B733="","",Base_de_donnee_articles!B733)</f>
        <v/>
      </c>
      <c r="C733" s="8">
        <f>Etat_des_stocks!G733*Base_de_donnee_articles!D733</f>
        <v>0</v>
      </c>
      <c r="D733" s="26">
        <f>Etat_des_stocks!F733*Base_de_donnee_articles!D733</f>
        <v>0</v>
      </c>
      <c r="E733" s="4" t="str">
        <f>IF(Base_de_donnee_articles!E733="","",Base_de_donnee_articles!E733)</f>
        <v/>
      </c>
    </row>
    <row r="734" spans="2:5" x14ac:dyDescent="0.35">
      <c r="B734" s="4" t="str">
        <f>IF(Base_de_donnee_articles!B734="","",Base_de_donnee_articles!B734)</f>
        <v/>
      </c>
      <c r="C734" s="8">
        <f>Etat_des_stocks!G734*Base_de_donnee_articles!D734</f>
        <v>0</v>
      </c>
      <c r="D734" s="26">
        <f>Etat_des_stocks!F734*Base_de_donnee_articles!D734</f>
        <v>0</v>
      </c>
      <c r="E734" s="4" t="str">
        <f>IF(Base_de_donnee_articles!E734="","",Base_de_donnee_articles!E734)</f>
        <v/>
      </c>
    </row>
    <row r="735" spans="2:5" x14ac:dyDescent="0.35">
      <c r="B735" s="4" t="str">
        <f>IF(Base_de_donnee_articles!B735="","",Base_de_donnee_articles!B735)</f>
        <v/>
      </c>
      <c r="C735" s="8">
        <f>Etat_des_stocks!G735*Base_de_donnee_articles!D735</f>
        <v>0</v>
      </c>
      <c r="D735" s="26">
        <f>Etat_des_stocks!F735*Base_de_donnee_articles!D735</f>
        <v>0</v>
      </c>
      <c r="E735" s="4" t="str">
        <f>IF(Base_de_donnee_articles!E735="","",Base_de_donnee_articles!E735)</f>
        <v/>
      </c>
    </row>
    <row r="736" spans="2:5" x14ac:dyDescent="0.35">
      <c r="B736" s="4" t="str">
        <f>IF(Base_de_donnee_articles!B736="","",Base_de_donnee_articles!B736)</f>
        <v/>
      </c>
      <c r="C736" s="8">
        <f>Etat_des_stocks!G736*Base_de_donnee_articles!D736</f>
        <v>0</v>
      </c>
      <c r="D736" s="26">
        <f>Etat_des_stocks!F736*Base_de_donnee_articles!D736</f>
        <v>0</v>
      </c>
      <c r="E736" s="4" t="str">
        <f>IF(Base_de_donnee_articles!E736="","",Base_de_donnee_articles!E736)</f>
        <v/>
      </c>
    </row>
    <row r="737" spans="2:5" x14ac:dyDescent="0.35">
      <c r="B737" s="4" t="str">
        <f>IF(Base_de_donnee_articles!B737="","",Base_de_donnee_articles!B737)</f>
        <v/>
      </c>
      <c r="C737" s="8">
        <f>Etat_des_stocks!G737*Base_de_donnee_articles!D737</f>
        <v>0</v>
      </c>
      <c r="D737" s="26">
        <f>Etat_des_stocks!F737*Base_de_donnee_articles!D737</f>
        <v>0</v>
      </c>
      <c r="E737" s="4" t="str">
        <f>IF(Base_de_donnee_articles!E737="","",Base_de_donnee_articles!E737)</f>
        <v/>
      </c>
    </row>
    <row r="738" spans="2:5" x14ac:dyDescent="0.35">
      <c r="B738" s="4" t="str">
        <f>IF(Base_de_donnee_articles!B738="","",Base_de_donnee_articles!B738)</f>
        <v/>
      </c>
      <c r="C738" s="8">
        <f>Etat_des_stocks!G738*Base_de_donnee_articles!D738</f>
        <v>0</v>
      </c>
      <c r="D738" s="26">
        <f>Etat_des_stocks!F738*Base_de_donnee_articles!D738</f>
        <v>0</v>
      </c>
      <c r="E738" s="4" t="str">
        <f>IF(Base_de_donnee_articles!E738="","",Base_de_donnee_articles!E738)</f>
        <v/>
      </c>
    </row>
    <row r="739" spans="2:5" x14ac:dyDescent="0.35">
      <c r="B739" s="4" t="str">
        <f>IF(Base_de_donnee_articles!B739="","",Base_de_donnee_articles!B739)</f>
        <v/>
      </c>
      <c r="C739" s="8">
        <f>Etat_des_stocks!G739*Base_de_donnee_articles!D739</f>
        <v>0</v>
      </c>
      <c r="D739" s="26">
        <f>Etat_des_stocks!F739*Base_de_donnee_articles!D739</f>
        <v>0</v>
      </c>
      <c r="E739" s="4" t="str">
        <f>IF(Base_de_donnee_articles!E739="","",Base_de_donnee_articles!E739)</f>
        <v/>
      </c>
    </row>
    <row r="740" spans="2:5" x14ac:dyDescent="0.35">
      <c r="B740" s="4" t="str">
        <f>IF(Base_de_donnee_articles!B740="","",Base_de_donnee_articles!B740)</f>
        <v/>
      </c>
      <c r="C740" s="8">
        <f>Etat_des_stocks!G740*Base_de_donnee_articles!D740</f>
        <v>0</v>
      </c>
      <c r="D740" s="26">
        <f>Etat_des_stocks!F740*Base_de_donnee_articles!D740</f>
        <v>0</v>
      </c>
      <c r="E740" s="4" t="str">
        <f>IF(Base_de_donnee_articles!E740="","",Base_de_donnee_articles!E740)</f>
        <v/>
      </c>
    </row>
    <row r="741" spans="2:5" x14ac:dyDescent="0.35">
      <c r="B741" s="4" t="str">
        <f>IF(Base_de_donnee_articles!B741="","",Base_de_donnee_articles!B741)</f>
        <v/>
      </c>
      <c r="C741" s="8">
        <f>Etat_des_stocks!G741*Base_de_donnee_articles!D741</f>
        <v>0</v>
      </c>
      <c r="D741" s="26">
        <f>Etat_des_stocks!F741*Base_de_donnee_articles!D741</f>
        <v>0</v>
      </c>
      <c r="E741" s="4" t="str">
        <f>IF(Base_de_donnee_articles!E741="","",Base_de_donnee_articles!E741)</f>
        <v/>
      </c>
    </row>
    <row r="742" spans="2:5" x14ac:dyDescent="0.35">
      <c r="B742" s="4" t="str">
        <f>IF(Base_de_donnee_articles!B742="","",Base_de_donnee_articles!B742)</f>
        <v/>
      </c>
      <c r="C742" s="8">
        <f>Etat_des_stocks!G742*Base_de_donnee_articles!D742</f>
        <v>0</v>
      </c>
      <c r="D742" s="26">
        <f>Etat_des_stocks!F742*Base_de_donnee_articles!D742</f>
        <v>0</v>
      </c>
      <c r="E742" s="4" t="str">
        <f>IF(Base_de_donnee_articles!E742="","",Base_de_donnee_articles!E742)</f>
        <v/>
      </c>
    </row>
    <row r="743" spans="2:5" x14ac:dyDescent="0.35">
      <c r="B743" s="4" t="str">
        <f>IF(Base_de_donnee_articles!B743="","",Base_de_donnee_articles!B743)</f>
        <v/>
      </c>
      <c r="C743" s="8">
        <f>Etat_des_stocks!G743*Base_de_donnee_articles!D743</f>
        <v>0</v>
      </c>
      <c r="D743" s="26">
        <f>Etat_des_stocks!F743*Base_de_donnee_articles!D743</f>
        <v>0</v>
      </c>
      <c r="E743" s="4" t="str">
        <f>IF(Base_de_donnee_articles!E743="","",Base_de_donnee_articles!E743)</f>
        <v/>
      </c>
    </row>
    <row r="744" spans="2:5" x14ac:dyDescent="0.35">
      <c r="B744" s="4" t="str">
        <f>IF(Base_de_donnee_articles!B744="","",Base_de_donnee_articles!B744)</f>
        <v/>
      </c>
      <c r="C744" s="8">
        <f>Etat_des_stocks!G744*Base_de_donnee_articles!D744</f>
        <v>0</v>
      </c>
      <c r="D744" s="26">
        <f>Etat_des_stocks!F744*Base_de_donnee_articles!D744</f>
        <v>0</v>
      </c>
      <c r="E744" s="4" t="str">
        <f>IF(Base_de_donnee_articles!E744="","",Base_de_donnee_articles!E744)</f>
        <v/>
      </c>
    </row>
    <row r="745" spans="2:5" x14ac:dyDescent="0.35">
      <c r="B745" s="4" t="str">
        <f>IF(Base_de_donnee_articles!B745="","",Base_de_donnee_articles!B745)</f>
        <v/>
      </c>
      <c r="C745" s="8">
        <f>Etat_des_stocks!G745*Base_de_donnee_articles!D745</f>
        <v>0</v>
      </c>
      <c r="D745" s="26">
        <f>Etat_des_stocks!F745*Base_de_donnee_articles!D745</f>
        <v>0</v>
      </c>
      <c r="E745" s="4" t="str">
        <f>IF(Base_de_donnee_articles!E745="","",Base_de_donnee_articles!E745)</f>
        <v/>
      </c>
    </row>
    <row r="746" spans="2:5" x14ac:dyDescent="0.35">
      <c r="B746" s="4" t="str">
        <f>IF(Base_de_donnee_articles!B746="","",Base_de_donnee_articles!B746)</f>
        <v/>
      </c>
      <c r="C746" s="8">
        <f>Etat_des_stocks!G746*Base_de_donnee_articles!D746</f>
        <v>0</v>
      </c>
      <c r="D746" s="26">
        <f>Etat_des_stocks!F746*Base_de_donnee_articles!D746</f>
        <v>0</v>
      </c>
      <c r="E746" s="4" t="str">
        <f>IF(Base_de_donnee_articles!E746="","",Base_de_donnee_articles!E746)</f>
        <v/>
      </c>
    </row>
    <row r="747" spans="2:5" x14ac:dyDescent="0.35">
      <c r="B747" s="4" t="str">
        <f>IF(Base_de_donnee_articles!B747="","",Base_de_donnee_articles!B747)</f>
        <v/>
      </c>
      <c r="C747" s="8">
        <f>Etat_des_stocks!G747*Base_de_donnee_articles!D747</f>
        <v>0</v>
      </c>
      <c r="D747" s="26">
        <f>Etat_des_stocks!F747*Base_de_donnee_articles!D747</f>
        <v>0</v>
      </c>
      <c r="E747" s="4" t="str">
        <f>IF(Base_de_donnee_articles!E747="","",Base_de_donnee_articles!E747)</f>
        <v/>
      </c>
    </row>
    <row r="748" spans="2:5" x14ac:dyDescent="0.35">
      <c r="B748" s="4" t="str">
        <f>IF(Base_de_donnee_articles!B748="","",Base_de_donnee_articles!B748)</f>
        <v/>
      </c>
      <c r="C748" s="8">
        <f>Etat_des_stocks!G748*Base_de_donnee_articles!D748</f>
        <v>0</v>
      </c>
      <c r="D748" s="26">
        <f>Etat_des_stocks!F748*Base_de_donnee_articles!D748</f>
        <v>0</v>
      </c>
      <c r="E748" s="4" t="str">
        <f>IF(Base_de_donnee_articles!E748="","",Base_de_donnee_articles!E748)</f>
        <v/>
      </c>
    </row>
    <row r="749" spans="2:5" x14ac:dyDescent="0.35">
      <c r="B749" s="4" t="str">
        <f>IF(Base_de_donnee_articles!B749="","",Base_de_donnee_articles!B749)</f>
        <v/>
      </c>
      <c r="C749" s="8">
        <f>Etat_des_stocks!G749*Base_de_donnee_articles!D749</f>
        <v>0</v>
      </c>
      <c r="D749" s="26">
        <f>Etat_des_stocks!F749*Base_de_donnee_articles!D749</f>
        <v>0</v>
      </c>
      <c r="E749" s="4" t="str">
        <f>IF(Base_de_donnee_articles!E749="","",Base_de_donnee_articles!E749)</f>
        <v/>
      </c>
    </row>
    <row r="750" spans="2:5" x14ac:dyDescent="0.35">
      <c r="B750" s="4" t="str">
        <f>IF(Base_de_donnee_articles!B750="","",Base_de_donnee_articles!B750)</f>
        <v/>
      </c>
      <c r="C750" s="8">
        <f>Etat_des_stocks!G750*Base_de_donnee_articles!D750</f>
        <v>0</v>
      </c>
      <c r="D750" s="26">
        <f>Etat_des_stocks!F750*Base_de_donnee_articles!D750</f>
        <v>0</v>
      </c>
      <c r="E750" s="4" t="str">
        <f>IF(Base_de_donnee_articles!E750="","",Base_de_donnee_articles!E750)</f>
        <v/>
      </c>
    </row>
    <row r="751" spans="2:5" x14ac:dyDescent="0.35">
      <c r="B751" s="4" t="str">
        <f>IF(Base_de_donnee_articles!B751="","",Base_de_donnee_articles!B751)</f>
        <v/>
      </c>
      <c r="C751" s="8">
        <f>Etat_des_stocks!G751*Base_de_donnee_articles!D751</f>
        <v>0</v>
      </c>
      <c r="D751" s="26">
        <f>Etat_des_stocks!F751*Base_de_donnee_articles!D751</f>
        <v>0</v>
      </c>
      <c r="E751" s="4" t="str">
        <f>IF(Base_de_donnee_articles!E751="","",Base_de_donnee_articles!E751)</f>
        <v/>
      </c>
    </row>
    <row r="752" spans="2:5" x14ac:dyDescent="0.35">
      <c r="B752" s="4" t="str">
        <f>IF(Base_de_donnee_articles!B752="","",Base_de_donnee_articles!B752)</f>
        <v/>
      </c>
      <c r="C752" s="8">
        <f>Etat_des_stocks!G752*Base_de_donnee_articles!D752</f>
        <v>0</v>
      </c>
      <c r="D752" s="26">
        <f>Etat_des_stocks!F752*Base_de_donnee_articles!D752</f>
        <v>0</v>
      </c>
      <c r="E752" s="4" t="str">
        <f>IF(Base_de_donnee_articles!E752="","",Base_de_donnee_articles!E752)</f>
        <v/>
      </c>
    </row>
    <row r="753" spans="2:5" x14ac:dyDescent="0.35">
      <c r="B753" s="4" t="str">
        <f>IF(Base_de_donnee_articles!B753="","",Base_de_donnee_articles!B753)</f>
        <v/>
      </c>
      <c r="C753" s="8">
        <f>Etat_des_stocks!G753*Base_de_donnee_articles!D753</f>
        <v>0</v>
      </c>
      <c r="D753" s="26">
        <f>Etat_des_stocks!F753*Base_de_donnee_articles!D753</f>
        <v>0</v>
      </c>
      <c r="E753" s="4" t="str">
        <f>IF(Base_de_donnee_articles!E753="","",Base_de_donnee_articles!E753)</f>
        <v/>
      </c>
    </row>
    <row r="754" spans="2:5" x14ac:dyDescent="0.35">
      <c r="B754" s="4" t="str">
        <f>IF(Base_de_donnee_articles!B754="","",Base_de_donnee_articles!B754)</f>
        <v/>
      </c>
      <c r="C754" s="8">
        <f>Etat_des_stocks!G754*Base_de_donnee_articles!D754</f>
        <v>0</v>
      </c>
      <c r="D754" s="26">
        <f>Etat_des_stocks!F754*Base_de_donnee_articles!D754</f>
        <v>0</v>
      </c>
      <c r="E754" s="4" t="str">
        <f>IF(Base_de_donnee_articles!E754="","",Base_de_donnee_articles!E754)</f>
        <v/>
      </c>
    </row>
    <row r="755" spans="2:5" x14ac:dyDescent="0.35">
      <c r="B755" s="4" t="str">
        <f>IF(Base_de_donnee_articles!B755="","",Base_de_donnee_articles!B755)</f>
        <v/>
      </c>
      <c r="C755" s="8">
        <f>Etat_des_stocks!G755*Base_de_donnee_articles!D755</f>
        <v>0</v>
      </c>
      <c r="D755" s="26">
        <f>Etat_des_stocks!F755*Base_de_donnee_articles!D755</f>
        <v>0</v>
      </c>
      <c r="E755" s="4" t="str">
        <f>IF(Base_de_donnee_articles!E755="","",Base_de_donnee_articles!E755)</f>
        <v/>
      </c>
    </row>
    <row r="756" spans="2:5" x14ac:dyDescent="0.35">
      <c r="B756" s="4" t="str">
        <f>IF(Base_de_donnee_articles!B756="","",Base_de_donnee_articles!B756)</f>
        <v/>
      </c>
      <c r="C756" s="8">
        <f>Etat_des_stocks!G756*Base_de_donnee_articles!D756</f>
        <v>0</v>
      </c>
      <c r="D756" s="26">
        <f>Etat_des_stocks!F756*Base_de_donnee_articles!D756</f>
        <v>0</v>
      </c>
      <c r="E756" s="4" t="str">
        <f>IF(Base_de_donnee_articles!E756="","",Base_de_donnee_articles!E756)</f>
        <v/>
      </c>
    </row>
    <row r="757" spans="2:5" x14ac:dyDescent="0.35">
      <c r="B757" s="4" t="str">
        <f>IF(Base_de_donnee_articles!B757="","",Base_de_donnee_articles!B757)</f>
        <v/>
      </c>
      <c r="C757" s="8">
        <f>Etat_des_stocks!G757*Base_de_donnee_articles!D757</f>
        <v>0</v>
      </c>
      <c r="D757" s="26">
        <f>Etat_des_stocks!F757*Base_de_donnee_articles!D757</f>
        <v>0</v>
      </c>
      <c r="E757" s="4" t="str">
        <f>IF(Base_de_donnee_articles!E757="","",Base_de_donnee_articles!E757)</f>
        <v/>
      </c>
    </row>
    <row r="758" spans="2:5" x14ac:dyDescent="0.35">
      <c r="B758" s="4" t="str">
        <f>IF(Base_de_donnee_articles!B758="","",Base_de_donnee_articles!B758)</f>
        <v/>
      </c>
      <c r="C758" s="8">
        <f>Etat_des_stocks!G758*Base_de_donnee_articles!D758</f>
        <v>0</v>
      </c>
      <c r="D758" s="26">
        <f>Etat_des_stocks!F758*Base_de_donnee_articles!D758</f>
        <v>0</v>
      </c>
      <c r="E758" s="4" t="str">
        <f>IF(Base_de_donnee_articles!E758="","",Base_de_donnee_articles!E758)</f>
        <v/>
      </c>
    </row>
    <row r="759" spans="2:5" x14ac:dyDescent="0.35">
      <c r="B759" s="4" t="str">
        <f>IF(Base_de_donnee_articles!B759="","",Base_de_donnee_articles!B759)</f>
        <v/>
      </c>
      <c r="C759" s="8">
        <f>Etat_des_stocks!G759*Base_de_donnee_articles!D759</f>
        <v>0</v>
      </c>
      <c r="D759" s="26">
        <f>Etat_des_stocks!F759*Base_de_donnee_articles!D759</f>
        <v>0</v>
      </c>
      <c r="E759" s="4" t="str">
        <f>IF(Base_de_donnee_articles!E759="","",Base_de_donnee_articles!E759)</f>
        <v/>
      </c>
    </row>
    <row r="760" spans="2:5" x14ac:dyDescent="0.35">
      <c r="B760" s="4" t="str">
        <f>IF(Base_de_donnee_articles!B760="","",Base_de_donnee_articles!B760)</f>
        <v/>
      </c>
      <c r="C760" s="8">
        <f>Etat_des_stocks!G760*Base_de_donnee_articles!D760</f>
        <v>0</v>
      </c>
      <c r="D760" s="26">
        <f>Etat_des_stocks!F760*Base_de_donnee_articles!D760</f>
        <v>0</v>
      </c>
      <c r="E760" s="4" t="str">
        <f>IF(Base_de_donnee_articles!E760="","",Base_de_donnee_articles!E760)</f>
        <v/>
      </c>
    </row>
    <row r="761" spans="2:5" x14ac:dyDescent="0.35">
      <c r="B761" s="4" t="str">
        <f>IF(Base_de_donnee_articles!B761="","",Base_de_donnee_articles!B761)</f>
        <v/>
      </c>
      <c r="C761" s="8">
        <f>Etat_des_stocks!G761*Base_de_donnee_articles!D761</f>
        <v>0</v>
      </c>
      <c r="D761" s="26">
        <f>Etat_des_stocks!F761*Base_de_donnee_articles!D761</f>
        <v>0</v>
      </c>
      <c r="E761" s="4" t="str">
        <f>IF(Base_de_donnee_articles!E761="","",Base_de_donnee_articles!E761)</f>
        <v/>
      </c>
    </row>
    <row r="762" spans="2:5" x14ac:dyDescent="0.35">
      <c r="B762" s="4" t="str">
        <f>IF(Base_de_donnee_articles!B762="","",Base_de_donnee_articles!B762)</f>
        <v/>
      </c>
      <c r="C762" s="8">
        <f>Etat_des_stocks!G762*Base_de_donnee_articles!D762</f>
        <v>0</v>
      </c>
      <c r="D762" s="26">
        <f>Etat_des_stocks!F762*Base_de_donnee_articles!D762</f>
        <v>0</v>
      </c>
      <c r="E762" s="4" t="str">
        <f>IF(Base_de_donnee_articles!E762="","",Base_de_donnee_articles!E762)</f>
        <v/>
      </c>
    </row>
    <row r="763" spans="2:5" x14ac:dyDescent="0.35">
      <c r="B763" s="4" t="str">
        <f>IF(Base_de_donnee_articles!B763="","",Base_de_donnee_articles!B763)</f>
        <v/>
      </c>
      <c r="C763" s="8">
        <f>Etat_des_stocks!G763*Base_de_donnee_articles!D763</f>
        <v>0</v>
      </c>
      <c r="D763" s="26">
        <f>Etat_des_stocks!F763*Base_de_donnee_articles!D763</f>
        <v>0</v>
      </c>
      <c r="E763" s="4" t="str">
        <f>IF(Base_de_donnee_articles!E763="","",Base_de_donnee_articles!E763)</f>
        <v/>
      </c>
    </row>
    <row r="764" spans="2:5" x14ac:dyDescent="0.35">
      <c r="B764" s="4" t="str">
        <f>IF(Base_de_donnee_articles!B764="","",Base_de_donnee_articles!B764)</f>
        <v/>
      </c>
      <c r="C764" s="8">
        <f>Etat_des_stocks!G764*Base_de_donnee_articles!D764</f>
        <v>0</v>
      </c>
      <c r="D764" s="26">
        <f>Etat_des_stocks!F764*Base_de_donnee_articles!D764</f>
        <v>0</v>
      </c>
      <c r="E764" s="4" t="str">
        <f>IF(Base_de_donnee_articles!E764="","",Base_de_donnee_articles!E764)</f>
        <v/>
      </c>
    </row>
    <row r="765" spans="2:5" x14ac:dyDescent="0.35">
      <c r="B765" s="4" t="str">
        <f>IF(Base_de_donnee_articles!B765="","",Base_de_donnee_articles!B765)</f>
        <v/>
      </c>
      <c r="C765" s="8">
        <f>Etat_des_stocks!G765*Base_de_donnee_articles!D765</f>
        <v>0</v>
      </c>
      <c r="D765" s="26">
        <f>Etat_des_stocks!F765*Base_de_donnee_articles!D765</f>
        <v>0</v>
      </c>
      <c r="E765" s="4" t="str">
        <f>IF(Base_de_donnee_articles!E765="","",Base_de_donnee_articles!E765)</f>
        <v/>
      </c>
    </row>
    <row r="766" spans="2:5" x14ac:dyDescent="0.35">
      <c r="B766" s="4" t="str">
        <f>IF(Base_de_donnee_articles!B766="","",Base_de_donnee_articles!B766)</f>
        <v/>
      </c>
      <c r="C766" s="8">
        <f>Etat_des_stocks!G766*Base_de_donnee_articles!D766</f>
        <v>0</v>
      </c>
      <c r="D766" s="26">
        <f>Etat_des_stocks!F766*Base_de_donnee_articles!D766</f>
        <v>0</v>
      </c>
      <c r="E766" s="4" t="str">
        <f>IF(Base_de_donnee_articles!E766="","",Base_de_donnee_articles!E766)</f>
        <v/>
      </c>
    </row>
    <row r="767" spans="2:5" x14ac:dyDescent="0.35">
      <c r="B767" s="4" t="str">
        <f>IF(Base_de_donnee_articles!B767="","",Base_de_donnee_articles!B767)</f>
        <v/>
      </c>
      <c r="C767" s="8">
        <f>Etat_des_stocks!G767*Base_de_donnee_articles!D767</f>
        <v>0</v>
      </c>
      <c r="D767" s="26">
        <f>Etat_des_stocks!F767*Base_de_donnee_articles!D767</f>
        <v>0</v>
      </c>
      <c r="E767" s="4" t="str">
        <f>IF(Base_de_donnee_articles!E767="","",Base_de_donnee_articles!E767)</f>
        <v/>
      </c>
    </row>
    <row r="768" spans="2:5" x14ac:dyDescent="0.35">
      <c r="B768" s="4" t="str">
        <f>IF(Base_de_donnee_articles!B768="","",Base_de_donnee_articles!B768)</f>
        <v/>
      </c>
      <c r="C768" s="8">
        <f>Etat_des_stocks!G768*Base_de_donnee_articles!D768</f>
        <v>0</v>
      </c>
      <c r="D768" s="26">
        <f>Etat_des_stocks!F768*Base_de_donnee_articles!D768</f>
        <v>0</v>
      </c>
      <c r="E768" s="4" t="str">
        <f>IF(Base_de_donnee_articles!E768="","",Base_de_donnee_articles!E768)</f>
        <v/>
      </c>
    </row>
    <row r="769" spans="2:5" x14ac:dyDescent="0.35">
      <c r="B769" s="4" t="str">
        <f>IF(Base_de_donnee_articles!B769="","",Base_de_donnee_articles!B769)</f>
        <v/>
      </c>
      <c r="C769" s="8">
        <f>Etat_des_stocks!G769*Base_de_donnee_articles!D769</f>
        <v>0</v>
      </c>
      <c r="D769" s="26">
        <f>Etat_des_stocks!F769*Base_de_donnee_articles!D769</f>
        <v>0</v>
      </c>
      <c r="E769" s="4" t="str">
        <f>IF(Base_de_donnee_articles!E769="","",Base_de_donnee_articles!E769)</f>
        <v/>
      </c>
    </row>
    <row r="770" spans="2:5" x14ac:dyDescent="0.35">
      <c r="B770" s="4" t="str">
        <f>IF(Base_de_donnee_articles!B770="","",Base_de_donnee_articles!B770)</f>
        <v/>
      </c>
      <c r="C770" s="8">
        <f>Etat_des_stocks!G770*Base_de_donnee_articles!D770</f>
        <v>0</v>
      </c>
      <c r="D770" s="26">
        <f>Etat_des_stocks!F770*Base_de_donnee_articles!D770</f>
        <v>0</v>
      </c>
      <c r="E770" s="4" t="str">
        <f>IF(Base_de_donnee_articles!E770="","",Base_de_donnee_articles!E770)</f>
        <v/>
      </c>
    </row>
    <row r="771" spans="2:5" x14ac:dyDescent="0.35">
      <c r="B771" s="4" t="str">
        <f>IF(Base_de_donnee_articles!B771="","",Base_de_donnee_articles!B771)</f>
        <v/>
      </c>
      <c r="C771" s="8">
        <f>Etat_des_stocks!G771*Base_de_donnee_articles!D771</f>
        <v>0</v>
      </c>
      <c r="D771" s="26">
        <f>Etat_des_stocks!F771*Base_de_donnee_articles!D771</f>
        <v>0</v>
      </c>
      <c r="E771" s="4" t="str">
        <f>IF(Base_de_donnee_articles!E771="","",Base_de_donnee_articles!E771)</f>
        <v/>
      </c>
    </row>
    <row r="772" spans="2:5" x14ac:dyDescent="0.35">
      <c r="B772" s="4" t="str">
        <f>IF(Base_de_donnee_articles!B772="","",Base_de_donnee_articles!B772)</f>
        <v/>
      </c>
      <c r="C772" s="8">
        <f>Etat_des_stocks!G772*Base_de_donnee_articles!D772</f>
        <v>0</v>
      </c>
      <c r="D772" s="26">
        <f>Etat_des_stocks!F772*Base_de_donnee_articles!D772</f>
        <v>0</v>
      </c>
      <c r="E772" s="4" t="str">
        <f>IF(Base_de_donnee_articles!E772="","",Base_de_donnee_articles!E772)</f>
        <v/>
      </c>
    </row>
    <row r="773" spans="2:5" x14ac:dyDescent="0.35">
      <c r="B773" s="4" t="str">
        <f>IF(Base_de_donnee_articles!B773="","",Base_de_donnee_articles!B773)</f>
        <v/>
      </c>
      <c r="C773" s="8">
        <f>Etat_des_stocks!G773*Base_de_donnee_articles!D773</f>
        <v>0</v>
      </c>
      <c r="D773" s="26">
        <f>Etat_des_stocks!F773*Base_de_donnee_articles!D773</f>
        <v>0</v>
      </c>
      <c r="E773" s="4" t="str">
        <f>IF(Base_de_donnee_articles!E773="","",Base_de_donnee_articles!E773)</f>
        <v/>
      </c>
    </row>
    <row r="774" spans="2:5" x14ac:dyDescent="0.35">
      <c r="B774" s="4" t="str">
        <f>IF(Base_de_donnee_articles!B774="","",Base_de_donnee_articles!B774)</f>
        <v/>
      </c>
      <c r="C774" s="8">
        <f>Etat_des_stocks!G774*Base_de_donnee_articles!D774</f>
        <v>0</v>
      </c>
      <c r="D774" s="26">
        <f>Etat_des_stocks!F774*Base_de_donnee_articles!D774</f>
        <v>0</v>
      </c>
      <c r="E774" s="4" t="str">
        <f>IF(Base_de_donnee_articles!E774="","",Base_de_donnee_articles!E774)</f>
        <v/>
      </c>
    </row>
    <row r="775" spans="2:5" x14ac:dyDescent="0.35">
      <c r="B775" s="4" t="str">
        <f>IF(Base_de_donnee_articles!B775="","",Base_de_donnee_articles!B775)</f>
        <v/>
      </c>
      <c r="C775" s="8">
        <f>Etat_des_stocks!G775*Base_de_donnee_articles!D775</f>
        <v>0</v>
      </c>
      <c r="D775" s="26">
        <f>Etat_des_stocks!F775*Base_de_donnee_articles!D775</f>
        <v>0</v>
      </c>
      <c r="E775" s="4" t="str">
        <f>IF(Base_de_donnee_articles!E775="","",Base_de_donnee_articles!E775)</f>
        <v/>
      </c>
    </row>
    <row r="776" spans="2:5" x14ac:dyDescent="0.35">
      <c r="B776" s="4" t="str">
        <f>IF(Base_de_donnee_articles!B776="","",Base_de_donnee_articles!B776)</f>
        <v/>
      </c>
      <c r="C776" s="8">
        <f>Etat_des_stocks!G776*Base_de_donnee_articles!D776</f>
        <v>0</v>
      </c>
      <c r="D776" s="26">
        <f>Etat_des_stocks!F776*Base_de_donnee_articles!D776</f>
        <v>0</v>
      </c>
      <c r="E776" s="4" t="str">
        <f>IF(Base_de_donnee_articles!E776="","",Base_de_donnee_articles!E776)</f>
        <v/>
      </c>
    </row>
    <row r="777" spans="2:5" x14ac:dyDescent="0.35">
      <c r="B777" s="4" t="str">
        <f>IF(Base_de_donnee_articles!B777="","",Base_de_donnee_articles!B777)</f>
        <v/>
      </c>
      <c r="C777" s="8">
        <f>Etat_des_stocks!G777*Base_de_donnee_articles!D777</f>
        <v>0</v>
      </c>
      <c r="D777" s="26">
        <f>Etat_des_stocks!F777*Base_de_donnee_articles!D777</f>
        <v>0</v>
      </c>
      <c r="E777" s="4" t="str">
        <f>IF(Base_de_donnee_articles!E777="","",Base_de_donnee_articles!E777)</f>
        <v/>
      </c>
    </row>
    <row r="778" spans="2:5" x14ac:dyDescent="0.35">
      <c r="B778" s="4" t="str">
        <f>IF(Base_de_donnee_articles!B778="","",Base_de_donnee_articles!B778)</f>
        <v/>
      </c>
      <c r="C778" s="8">
        <f>Etat_des_stocks!G778*Base_de_donnee_articles!D778</f>
        <v>0</v>
      </c>
      <c r="D778" s="26">
        <f>Etat_des_stocks!F778*Base_de_donnee_articles!D778</f>
        <v>0</v>
      </c>
      <c r="E778" s="4" t="str">
        <f>IF(Base_de_donnee_articles!E778="","",Base_de_donnee_articles!E778)</f>
        <v/>
      </c>
    </row>
    <row r="779" spans="2:5" x14ac:dyDescent="0.35">
      <c r="B779" s="4" t="str">
        <f>IF(Base_de_donnee_articles!B779="","",Base_de_donnee_articles!B779)</f>
        <v/>
      </c>
      <c r="C779" s="8">
        <f>Etat_des_stocks!G779*Base_de_donnee_articles!D779</f>
        <v>0</v>
      </c>
      <c r="D779" s="26">
        <f>Etat_des_stocks!F779*Base_de_donnee_articles!D779</f>
        <v>0</v>
      </c>
      <c r="E779" s="4" t="str">
        <f>IF(Base_de_donnee_articles!E779="","",Base_de_donnee_articles!E779)</f>
        <v/>
      </c>
    </row>
    <row r="780" spans="2:5" x14ac:dyDescent="0.35">
      <c r="B780" s="4" t="str">
        <f>IF(Base_de_donnee_articles!B780="","",Base_de_donnee_articles!B780)</f>
        <v/>
      </c>
      <c r="C780" s="8">
        <f>Etat_des_stocks!G780*Base_de_donnee_articles!D780</f>
        <v>0</v>
      </c>
      <c r="D780" s="26">
        <f>Etat_des_stocks!F780*Base_de_donnee_articles!D780</f>
        <v>0</v>
      </c>
      <c r="E780" s="4" t="str">
        <f>IF(Base_de_donnee_articles!E780="","",Base_de_donnee_articles!E780)</f>
        <v/>
      </c>
    </row>
    <row r="781" spans="2:5" x14ac:dyDescent="0.35">
      <c r="B781" s="4" t="str">
        <f>IF(Base_de_donnee_articles!B781="","",Base_de_donnee_articles!B781)</f>
        <v/>
      </c>
      <c r="C781" s="8">
        <f>Etat_des_stocks!G781*Base_de_donnee_articles!D781</f>
        <v>0</v>
      </c>
      <c r="D781" s="26">
        <f>Etat_des_stocks!F781*Base_de_donnee_articles!D781</f>
        <v>0</v>
      </c>
      <c r="E781" s="4" t="str">
        <f>IF(Base_de_donnee_articles!E781="","",Base_de_donnee_articles!E781)</f>
        <v/>
      </c>
    </row>
    <row r="782" spans="2:5" x14ac:dyDescent="0.35">
      <c r="B782" s="4" t="str">
        <f>IF(Base_de_donnee_articles!B782="","",Base_de_donnee_articles!B782)</f>
        <v/>
      </c>
      <c r="C782" s="8">
        <f>Etat_des_stocks!G782*Base_de_donnee_articles!D782</f>
        <v>0</v>
      </c>
      <c r="D782" s="26">
        <f>Etat_des_stocks!F782*Base_de_donnee_articles!D782</f>
        <v>0</v>
      </c>
      <c r="E782" s="4" t="str">
        <f>IF(Base_de_donnee_articles!E782="","",Base_de_donnee_articles!E782)</f>
        <v/>
      </c>
    </row>
    <row r="783" spans="2:5" x14ac:dyDescent="0.35">
      <c r="B783" s="4" t="str">
        <f>IF(Base_de_donnee_articles!B783="","",Base_de_donnee_articles!B783)</f>
        <v/>
      </c>
      <c r="C783" s="8">
        <f>Etat_des_stocks!G783*Base_de_donnee_articles!D783</f>
        <v>0</v>
      </c>
      <c r="D783" s="26">
        <f>Etat_des_stocks!F783*Base_de_donnee_articles!D783</f>
        <v>0</v>
      </c>
      <c r="E783" s="4" t="str">
        <f>IF(Base_de_donnee_articles!E783="","",Base_de_donnee_articles!E783)</f>
        <v/>
      </c>
    </row>
    <row r="784" spans="2:5" x14ac:dyDescent="0.35">
      <c r="B784" s="4" t="str">
        <f>IF(Base_de_donnee_articles!B784="","",Base_de_donnee_articles!B784)</f>
        <v/>
      </c>
      <c r="C784" s="8">
        <f>Etat_des_stocks!G784*Base_de_donnee_articles!D784</f>
        <v>0</v>
      </c>
      <c r="D784" s="26">
        <f>Etat_des_stocks!F784*Base_de_donnee_articles!D784</f>
        <v>0</v>
      </c>
      <c r="E784" s="4" t="str">
        <f>IF(Base_de_donnee_articles!E784="","",Base_de_donnee_articles!E784)</f>
        <v/>
      </c>
    </row>
    <row r="785" spans="2:5" x14ac:dyDescent="0.35">
      <c r="B785" s="4" t="str">
        <f>IF(Base_de_donnee_articles!B785="","",Base_de_donnee_articles!B785)</f>
        <v/>
      </c>
      <c r="C785" s="8">
        <f>Etat_des_stocks!G785*Base_de_donnee_articles!D785</f>
        <v>0</v>
      </c>
      <c r="D785" s="26">
        <f>Etat_des_stocks!F785*Base_de_donnee_articles!D785</f>
        <v>0</v>
      </c>
      <c r="E785" s="4" t="str">
        <f>IF(Base_de_donnee_articles!E785="","",Base_de_donnee_articles!E785)</f>
        <v/>
      </c>
    </row>
    <row r="786" spans="2:5" x14ac:dyDescent="0.35">
      <c r="B786" s="4" t="str">
        <f>IF(Base_de_donnee_articles!B786="","",Base_de_donnee_articles!B786)</f>
        <v/>
      </c>
      <c r="C786" s="8">
        <f>Etat_des_stocks!G786*Base_de_donnee_articles!D786</f>
        <v>0</v>
      </c>
      <c r="D786" s="26">
        <f>Etat_des_stocks!F786*Base_de_donnee_articles!D786</f>
        <v>0</v>
      </c>
      <c r="E786" s="4" t="str">
        <f>IF(Base_de_donnee_articles!E786="","",Base_de_donnee_articles!E786)</f>
        <v/>
      </c>
    </row>
    <row r="787" spans="2:5" x14ac:dyDescent="0.35">
      <c r="B787" s="4" t="str">
        <f>IF(Base_de_donnee_articles!B787="","",Base_de_donnee_articles!B787)</f>
        <v/>
      </c>
      <c r="C787" s="8">
        <f>Etat_des_stocks!G787*Base_de_donnee_articles!D787</f>
        <v>0</v>
      </c>
      <c r="D787" s="26">
        <f>Etat_des_stocks!F787*Base_de_donnee_articles!D787</f>
        <v>0</v>
      </c>
      <c r="E787" s="4" t="str">
        <f>IF(Base_de_donnee_articles!E787="","",Base_de_donnee_articles!E787)</f>
        <v/>
      </c>
    </row>
    <row r="788" spans="2:5" x14ac:dyDescent="0.35">
      <c r="B788" s="4" t="str">
        <f>IF(Base_de_donnee_articles!B788="","",Base_de_donnee_articles!B788)</f>
        <v/>
      </c>
      <c r="C788" s="8">
        <f>Etat_des_stocks!G788*Base_de_donnee_articles!D788</f>
        <v>0</v>
      </c>
      <c r="D788" s="26">
        <f>Etat_des_stocks!F788*Base_de_donnee_articles!D788</f>
        <v>0</v>
      </c>
      <c r="E788" s="4" t="str">
        <f>IF(Base_de_donnee_articles!E788="","",Base_de_donnee_articles!E788)</f>
        <v/>
      </c>
    </row>
    <row r="789" spans="2:5" x14ac:dyDescent="0.35">
      <c r="B789" s="4" t="str">
        <f>IF(Base_de_donnee_articles!B789="","",Base_de_donnee_articles!B789)</f>
        <v/>
      </c>
      <c r="C789" s="8">
        <f>Etat_des_stocks!G789*Base_de_donnee_articles!D789</f>
        <v>0</v>
      </c>
      <c r="D789" s="26">
        <f>Etat_des_stocks!F789*Base_de_donnee_articles!D789</f>
        <v>0</v>
      </c>
      <c r="E789" s="4" t="str">
        <f>IF(Base_de_donnee_articles!E789="","",Base_de_donnee_articles!E789)</f>
        <v/>
      </c>
    </row>
    <row r="790" spans="2:5" x14ac:dyDescent="0.35">
      <c r="B790" s="4" t="str">
        <f>IF(Base_de_donnee_articles!B790="","",Base_de_donnee_articles!B790)</f>
        <v/>
      </c>
      <c r="C790" s="8">
        <f>Etat_des_stocks!G790*Base_de_donnee_articles!D790</f>
        <v>0</v>
      </c>
      <c r="D790" s="26">
        <f>Etat_des_stocks!F790*Base_de_donnee_articles!D790</f>
        <v>0</v>
      </c>
      <c r="E790" s="4" t="str">
        <f>IF(Base_de_donnee_articles!E790="","",Base_de_donnee_articles!E790)</f>
        <v/>
      </c>
    </row>
    <row r="791" spans="2:5" x14ac:dyDescent="0.35">
      <c r="B791" s="4" t="str">
        <f>IF(Base_de_donnee_articles!B791="","",Base_de_donnee_articles!B791)</f>
        <v/>
      </c>
      <c r="C791" s="8">
        <f>Etat_des_stocks!G791*Base_de_donnee_articles!D791</f>
        <v>0</v>
      </c>
      <c r="D791" s="26">
        <f>Etat_des_stocks!F791*Base_de_donnee_articles!D791</f>
        <v>0</v>
      </c>
      <c r="E791" s="4" t="str">
        <f>IF(Base_de_donnee_articles!E791="","",Base_de_donnee_articles!E791)</f>
        <v/>
      </c>
    </row>
    <row r="792" spans="2:5" x14ac:dyDescent="0.35">
      <c r="B792" s="4" t="str">
        <f>IF(Base_de_donnee_articles!B792="","",Base_de_donnee_articles!B792)</f>
        <v/>
      </c>
      <c r="C792" s="8">
        <f>Etat_des_stocks!G792*Base_de_donnee_articles!D792</f>
        <v>0</v>
      </c>
      <c r="D792" s="26">
        <f>Etat_des_stocks!F792*Base_de_donnee_articles!D792</f>
        <v>0</v>
      </c>
      <c r="E792" s="4" t="str">
        <f>IF(Base_de_donnee_articles!E792="","",Base_de_donnee_articles!E792)</f>
        <v/>
      </c>
    </row>
    <row r="793" spans="2:5" x14ac:dyDescent="0.35">
      <c r="B793" s="4" t="str">
        <f>IF(Base_de_donnee_articles!B793="","",Base_de_donnee_articles!B793)</f>
        <v/>
      </c>
      <c r="C793" s="8">
        <f>Etat_des_stocks!G793*Base_de_donnee_articles!D793</f>
        <v>0</v>
      </c>
      <c r="D793" s="26">
        <f>Etat_des_stocks!F793*Base_de_donnee_articles!D793</f>
        <v>0</v>
      </c>
      <c r="E793" s="4" t="str">
        <f>IF(Base_de_donnee_articles!E793="","",Base_de_donnee_articles!E793)</f>
        <v/>
      </c>
    </row>
    <row r="794" spans="2:5" x14ac:dyDescent="0.35">
      <c r="B794" s="4" t="str">
        <f>IF(Base_de_donnee_articles!B794="","",Base_de_donnee_articles!B794)</f>
        <v/>
      </c>
      <c r="C794" s="8">
        <f>Etat_des_stocks!G794*Base_de_donnee_articles!D794</f>
        <v>0</v>
      </c>
      <c r="D794" s="26">
        <f>Etat_des_stocks!F794*Base_de_donnee_articles!D794</f>
        <v>0</v>
      </c>
      <c r="E794" s="4" t="str">
        <f>IF(Base_de_donnee_articles!E794="","",Base_de_donnee_articles!E794)</f>
        <v/>
      </c>
    </row>
    <row r="795" spans="2:5" x14ac:dyDescent="0.35">
      <c r="B795" s="4" t="str">
        <f>IF(Base_de_donnee_articles!B795="","",Base_de_donnee_articles!B795)</f>
        <v/>
      </c>
      <c r="C795" s="8">
        <f>Etat_des_stocks!G795*Base_de_donnee_articles!D795</f>
        <v>0</v>
      </c>
      <c r="D795" s="26">
        <f>Etat_des_stocks!F795*Base_de_donnee_articles!D795</f>
        <v>0</v>
      </c>
      <c r="E795" s="4" t="str">
        <f>IF(Base_de_donnee_articles!E795="","",Base_de_donnee_articles!E795)</f>
        <v/>
      </c>
    </row>
    <row r="796" spans="2:5" x14ac:dyDescent="0.35">
      <c r="B796" s="4" t="str">
        <f>IF(Base_de_donnee_articles!B796="","",Base_de_donnee_articles!B796)</f>
        <v/>
      </c>
      <c r="C796" s="8">
        <f>Etat_des_stocks!G796*Base_de_donnee_articles!D796</f>
        <v>0</v>
      </c>
      <c r="D796" s="26">
        <f>Etat_des_stocks!F796*Base_de_donnee_articles!D796</f>
        <v>0</v>
      </c>
      <c r="E796" s="4" t="str">
        <f>IF(Base_de_donnee_articles!E796="","",Base_de_donnee_articles!E796)</f>
        <v/>
      </c>
    </row>
    <row r="797" spans="2:5" x14ac:dyDescent="0.35">
      <c r="B797" t="str">
        <f>IF(Base_de_donnee_articles!B789="","",Base_de_donnee_articles!B789)</f>
        <v/>
      </c>
    </row>
    <row r="798" spans="2:5" x14ac:dyDescent="0.35">
      <c r="B798" t="str">
        <f>IF(Base_de_donnee_articles!B790="","",Base_de_donnee_articles!B790)</f>
        <v/>
      </c>
    </row>
    <row r="799" spans="2:5" x14ac:dyDescent="0.35">
      <c r="B799" t="str">
        <f>IF(Base_de_donnee_articles!B791="","",Base_de_donnee_articles!B791)</f>
        <v/>
      </c>
    </row>
    <row r="800" spans="2:5" x14ac:dyDescent="0.35">
      <c r="B800" t="str">
        <f>IF(Base_de_donnee_articles!B792="","",Base_de_donnee_articles!B792)</f>
        <v/>
      </c>
    </row>
    <row r="801" spans="2:2" x14ac:dyDescent="0.35">
      <c r="B801" t="str">
        <f>IF(Base_de_donnee_articles!B793="","",Base_de_donnee_articles!B793)</f>
        <v/>
      </c>
    </row>
    <row r="802" spans="2:2" x14ac:dyDescent="0.35">
      <c r="B802" t="str">
        <f>IF(Base_de_donnee_articles!B794="","",Base_de_donnee_articles!B794)</f>
        <v/>
      </c>
    </row>
    <row r="803" spans="2:2" x14ac:dyDescent="0.35">
      <c r="B803" t="str">
        <f>IF(Base_de_donnee_articles!B795="","",Base_de_donnee_articles!B795)</f>
        <v/>
      </c>
    </row>
    <row r="804" spans="2:2" x14ac:dyDescent="0.35">
      <c r="B804" t="str">
        <f>IF(Base_de_donnee_articles!B796="","",Base_de_donnee_articles!B796)</f>
        <v/>
      </c>
    </row>
    <row r="805" spans="2:2" x14ac:dyDescent="0.35">
      <c r="B805" t="str">
        <f>IF(Base_de_donnee_articles!B797="","",Base_de_donnee_articles!B797)</f>
        <v/>
      </c>
    </row>
    <row r="806" spans="2:2" x14ac:dyDescent="0.35">
      <c r="B806" t="str">
        <f>IF(Base_de_donnee_articles!B798="","",Base_de_donnee_articles!B798)</f>
        <v/>
      </c>
    </row>
    <row r="807" spans="2:2" x14ac:dyDescent="0.35">
      <c r="B807" t="str">
        <f>IF(Base_de_donnee_articles!B799="","",Base_de_donnee_articles!B799)</f>
        <v/>
      </c>
    </row>
    <row r="808" spans="2:2" x14ac:dyDescent="0.35">
      <c r="B808" t="str">
        <f>IF(Base_de_donnee_articles!B800="","",Base_de_donnee_articles!B800)</f>
        <v/>
      </c>
    </row>
    <row r="809" spans="2:2" x14ac:dyDescent="0.35">
      <c r="B809" t="str">
        <f>IF(Base_de_donnee_articles!B801="","",Base_de_donnee_articles!B801)</f>
        <v/>
      </c>
    </row>
    <row r="810" spans="2:2" x14ac:dyDescent="0.35">
      <c r="B810" t="str">
        <f>IF(Base_de_donnee_articles!B802="","",Base_de_donnee_articles!B802)</f>
        <v/>
      </c>
    </row>
    <row r="811" spans="2:2" x14ac:dyDescent="0.35">
      <c r="B811" t="str">
        <f>IF(Base_de_donnee_articles!B803="","",Base_de_donnee_articles!B803)</f>
        <v/>
      </c>
    </row>
    <row r="812" spans="2:2" x14ac:dyDescent="0.35">
      <c r="B812" t="str">
        <f>IF(Base_de_donnee_articles!B804="","",Base_de_donnee_articles!B804)</f>
        <v/>
      </c>
    </row>
    <row r="813" spans="2:2" x14ac:dyDescent="0.35">
      <c r="B813" t="str">
        <f>IF(Base_de_donnee_articles!B805="","",Base_de_donnee_articles!B805)</f>
        <v/>
      </c>
    </row>
    <row r="814" spans="2:2" x14ac:dyDescent="0.35">
      <c r="B814" t="str">
        <f>IF(Base_de_donnee_articles!B806="","",Base_de_donnee_articles!B806)</f>
        <v/>
      </c>
    </row>
    <row r="815" spans="2:2" x14ac:dyDescent="0.35">
      <c r="B815" t="str">
        <f>IF(Base_de_donnee_articles!B807="","",Base_de_donnee_articles!B807)</f>
        <v/>
      </c>
    </row>
    <row r="816" spans="2:2" x14ac:dyDescent="0.35">
      <c r="B816" t="str">
        <f>IF(Base_de_donnee_articles!B808="","",Base_de_donnee_articles!B808)</f>
        <v/>
      </c>
    </row>
    <row r="817" spans="2:2" x14ac:dyDescent="0.35">
      <c r="B817" t="str">
        <f>IF(Base_de_donnee_articles!B809="","",Base_de_donnee_articles!B809)</f>
        <v/>
      </c>
    </row>
    <row r="818" spans="2:2" x14ac:dyDescent="0.35">
      <c r="B818" t="str">
        <f>IF(Base_de_donnee_articles!B810="","",Base_de_donnee_articles!B810)</f>
        <v/>
      </c>
    </row>
    <row r="819" spans="2:2" x14ac:dyDescent="0.35">
      <c r="B819" t="str">
        <f>IF(Base_de_donnee_articles!B811="","",Base_de_donnee_articles!B811)</f>
        <v/>
      </c>
    </row>
    <row r="820" spans="2:2" x14ac:dyDescent="0.35">
      <c r="B820" t="str">
        <f>IF(Base_de_donnee_articles!B812="","",Base_de_donnee_articles!B812)</f>
        <v/>
      </c>
    </row>
    <row r="821" spans="2:2" x14ac:dyDescent="0.35">
      <c r="B821" t="str">
        <f>IF(Base_de_donnee_articles!B813="","",Base_de_donnee_articles!B813)</f>
        <v/>
      </c>
    </row>
    <row r="822" spans="2:2" x14ac:dyDescent="0.35">
      <c r="B822" t="str">
        <f>IF(Base_de_donnee_articles!B814="","",Base_de_donnee_articles!B814)</f>
        <v/>
      </c>
    </row>
    <row r="823" spans="2:2" x14ac:dyDescent="0.35">
      <c r="B823" t="str">
        <f>IF(Base_de_donnee_articles!B815="","",Base_de_donnee_articles!B815)</f>
        <v/>
      </c>
    </row>
    <row r="824" spans="2:2" x14ac:dyDescent="0.35">
      <c r="B824" t="str">
        <f>IF(Base_de_donnee_articles!B816="","",Base_de_donnee_articles!B816)</f>
        <v/>
      </c>
    </row>
    <row r="825" spans="2:2" x14ac:dyDescent="0.35">
      <c r="B825" t="str">
        <f>IF(Base_de_donnee_articles!B817="","",Base_de_donnee_articles!B817)</f>
        <v/>
      </c>
    </row>
    <row r="826" spans="2:2" x14ac:dyDescent="0.35">
      <c r="B826" t="str">
        <f>IF(Base_de_donnee_articles!B818="","",Base_de_donnee_articles!B818)</f>
        <v/>
      </c>
    </row>
    <row r="827" spans="2:2" x14ac:dyDescent="0.35">
      <c r="B827" t="str">
        <f>IF(Base_de_donnee_articles!B819="","",Base_de_donnee_articles!B819)</f>
        <v/>
      </c>
    </row>
    <row r="828" spans="2:2" x14ac:dyDescent="0.35">
      <c r="B828" t="str">
        <f>IF(Base_de_donnee_articles!B820="","",Base_de_donnee_articles!B820)</f>
        <v/>
      </c>
    </row>
    <row r="829" spans="2:2" x14ac:dyDescent="0.35">
      <c r="B829" t="str">
        <f>IF(Base_de_donnee_articles!B821="","",Base_de_donnee_articles!B821)</f>
        <v/>
      </c>
    </row>
    <row r="830" spans="2:2" x14ac:dyDescent="0.35">
      <c r="B830" t="str">
        <f>IF(Base_de_donnee_articles!B822="","",Base_de_donnee_articles!B822)</f>
        <v/>
      </c>
    </row>
    <row r="831" spans="2:2" x14ac:dyDescent="0.35">
      <c r="B831" t="str">
        <f>IF(Base_de_donnee_articles!B823="","",Base_de_donnee_articles!B823)</f>
        <v/>
      </c>
    </row>
    <row r="832" spans="2:2" x14ac:dyDescent="0.35">
      <c r="B832" t="str">
        <f>IF(Base_de_donnee_articles!B824="","",Base_de_donnee_articles!B824)</f>
        <v/>
      </c>
    </row>
    <row r="833" spans="2:2" x14ac:dyDescent="0.35">
      <c r="B833" t="str">
        <f>IF(Base_de_donnee_articles!B825="","",Base_de_donnee_articles!B825)</f>
        <v/>
      </c>
    </row>
    <row r="834" spans="2:2" x14ac:dyDescent="0.35">
      <c r="B834" t="str">
        <f>IF(Base_de_donnee_articles!B826="","",Base_de_donnee_articles!B826)</f>
        <v/>
      </c>
    </row>
    <row r="835" spans="2:2" x14ac:dyDescent="0.35">
      <c r="B835" t="str">
        <f>IF(Base_de_donnee_articles!B827="","",Base_de_donnee_articles!B827)</f>
        <v/>
      </c>
    </row>
    <row r="836" spans="2:2" x14ac:dyDescent="0.35">
      <c r="B836" t="str">
        <f>IF(Base_de_donnee_articles!B828="","",Base_de_donnee_articles!B828)</f>
        <v/>
      </c>
    </row>
    <row r="837" spans="2:2" x14ac:dyDescent="0.35">
      <c r="B837" t="str">
        <f>IF(Base_de_donnee_articles!B829="","",Base_de_donnee_articles!B829)</f>
        <v/>
      </c>
    </row>
    <row r="838" spans="2:2" x14ac:dyDescent="0.35">
      <c r="B838" t="str">
        <f>IF(Base_de_donnee_articles!B830="","",Base_de_donnee_articles!B830)</f>
        <v/>
      </c>
    </row>
    <row r="839" spans="2:2" x14ac:dyDescent="0.35">
      <c r="B839" t="str">
        <f>IF(Base_de_donnee_articles!B831="","",Base_de_donnee_articles!B831)</f>
        <v/>
      </c>
    </row>
    <row r="840" spans="2:2" x14ac:dyDescent="0.35">
      <c r="B840" t="str">
        <f>IF(Base_de_donnee_articles!B832="","",Base_de_donnee_articles!B832)</f>
        <v/>
      </c>
    </row>
    <row r="841" spans="2:2" x14ac:dyDescent="0.35">
      <c r="B841" t="str">
        <f>IF(Base_de_donnee_articles!B833="","",Base_de_donnee_articles!B833)</f>
        <v/>
      </c>
    </row>
    <row r="842" spans="2:2" x14ac:dyDescent="0.35">
      <c r="B842" t="str">
        <f>IF(Base_de_donnee_articles!B834="","",Base_de_donnee_articles!B834)</f>
        <v/>
      </c>
    </row>
    <row r="843" spans="2:2" x14ac:dyDescent="0.35">
      <c r="B843" t="str">
        <f>IF(Base_de_donnee_articles!B835="","",Base_de_donnee_articles!B835)</f>
        <v/>
      </c>
    </row>
    <row r="844" spans="2:2" x14ac:dyDescent="0.35">
      <c r="B844" t="str">
        <f>IF(Base_de_donnee_articles!B836="","",Base_de_donnee_articles!B836)</f>
        <v/>
      </c>
    </row>
    <row r="845" spans="2:2" x14ac:dyDescent="0.35">
      <c r="B845" t="str">
        <f>IF(Base_de_donnee_articles!B837="","",Base_de_donnee_articles!B837)</f>
        <v/>
      </c>
    </row>
    <row r="846" spans="2:2" x14ac:dyDescent="0.35">
      <c r="B846" t="str">
        <f>IF(Base_de_donnee_articles!B838="","",Base_de_donnee_articles!B838)</f>
        <v/>
      </c>
    </row>
    <row r="847" spans="2:2" x14ac:dyDescent="0.35">
      <c r="B847" t="str">
        <f>IF(Base_de_donnee_articles!B839="","",Base_de_donnee_articles!B839)</f>
        <v/>
      </c>
    </row>
    <row r="848" spans="2:2" x14ac:dyDescent="0.35">
      <c r="B848" t="str">
        <f>IF(Base_de_donnee_articles!B840="","",Base_de_donnee_articles!B840)</f>
        <v/>
      </c>
    </row>
    <row r="849" spans="2:2" x14ac:dyDescent="0.35">
      <c r="B849" t="str">
        <f>IF(Base_de_donnee_articles!B841="","",Base_de_donnee_articles!B841)</f>
        <v/>
      </c>
    </row>
    <row r="850" spans="2:2" x14ac:dyDescent="0.35">
      <c r="B850" t="str">
        <f>IF(Base_de_donnee_articles!B842="","",Base_de_donnee_articles!B842)</f>
        <v/>
      </c>
    </row>
    <row r="851" spans="2:2" x14ac:dyDescent="0.35">
      <c r="B851" t="str">
        <f>IF(Base_de_donnee_articles!B843="","",Base_de_donnee_articles!B843)</f>
        <v/>
      </c>
    </row>
    <row r="852" spans="2:2" x14ac:dyDescent="0.35">
      <c r="B852" t="str">
        <f>IF(Base_de_donnee_articles!B844="","",Base_de_donnee_articles!B844)</f>
        <v/>
      </c>
    </row>
    <row r="853" spans="2:2" x14ac:dyDescent="0.35">
      <c r="B853" t="str">
        <f>IF(Base_de_donnee_articles!B845="","",Base_de_donnee_articles!B845)</f>
        <v/>
      </c>
    </row>
    <row r="854" spans="2:2" x14ac:dyDescent="0.35">
      <c r="B854" t="str">
        <f>IF(Base_de_donnee_articles!B846="","",Base_de_donnee_articles!B846)</f>
        <v/>
      </c>
    </row>
    <row r="855" spans="2:2" x14ac:dyDescent="0.35">
      <c r="B855" t="str">
        <f>IF(Base_de_donnee_articles!B847="","",Base_de_donnee_articles!B847)</f>
        <v/>
      </c>
    </row>
    <row r="856" spans="2:2" x14ac:dyDescent="0.35">
      <c r="B856" t="str">
        <f>IF(Base_de_donnee_articles!B848="","",Base_de_donnee_articles!B848)</f>
        <v/>
      </c>
    </row>
    <row r="857" spans="2:2" x14ac:dyDescent="0.35">
      <c r="B857" t="str">
        <f>IF(Base_de_donnee_articles!B849="","",Base_de_donnee_articles!B849)</f>
        <v/>
      </c>
    </row>
    <row r="858" spans="2:2" x14ac:dyDescent="0.35">
      <c r="B858" t="str">
        <f>IF(Base_de_donnee_articles!B850="","",Base_de_donnee_articles!B850)</f>
        <v/>
      </c>
    </row>
    <row r="859" spans="2:2" x14ac:dyDescent="0.35">
      <c r="B859" t="str">
        <f>IF(Base_de_donnee_articles!B851="","",Base_de_donnee_articles!B851)</f>
        <v/>
      </c>
    </row>
    <row r="860" spans="2:2" x14ac:dyDescent="0.35">
      <c r="B860" t="str">
        <f>IF(Base_de_donnee_articles!B852="","",Base_de_donnee_articles!B852)</f>
        <v/>
      </c>
    </row>
    <row r="861" spans="2:2" x14ac:dyDescent="0.35">
      <c r="B861" t="str">
        <f>IF(Base_de_donnee_articles!B853="","",Base_de_donnee_articles!B853)</f>
        <v/>
      </c>
    </row>
    <row r="862" spans="2:2" x14ac:dyDescent="0.35">
      <c r="B862" t="str">
        <f>IF(Base_de_donnee_articles!B854="","",Base_de_donnee_articles!B854)</f>
        <v/>
      </c>
    </row>
    <row r="863" spans="2:2" x14ac:dyDescent="0.35">
      <c r="B863" t="str">
        <f>IF(Base_de_donnee_articles!B855="","",Base_de_donnee_articles!B855)</f>
        <v/>
      </c>
    </row>
    <row r="864" spans="2:2" x14ac:dyDescent="0.35">
      <c r="B864" t="str">
        <f>IF(Base_de_donnee_articles!B856="","",Base_de_donnee_articles!B856)</f>
        <v/>
      </c>
    </row>
    <row r="865" spans="2:2" x14ac:dyDescent="0.35">
      <c r="B865" t="str">
        <f>IF(Base_de_donnee_articles!B857="","",Base_de_donnee_articles!B857)</f>
        <v/>
      </c>
    </row>
    <row r="866" spans="2:2" x14ac:dyDescent="0.35">
      <c r="B866" t="str">
        <f>IF(Base_de_donnee_articles!B858="","",Base_de_donnee_articles!B858)</f>
        <v/>
      </c>
    </row>
    <row r="867" spans="2:2" x14ac:dyDescent="0.35">
      <c r="B867" t="str">
        <f>IF(Base_de_donnee_articles!B859="","",Base_de_donnee_articles!B859)</f>
        <v/>
      </c>
    </row>
    <row r="868" spans="2:2" x14ac:dyDescent="0.35">
      <c r="B868" t="str">
        <f>IF(Base_de_donnee_articles!B860="","",Base_de_donnee_articles!B860)</f>
        <v/>
      </c>
    </row>
    <row r="869" spans="2:2" x14ac:dyDescent="0.35">
      <c r="B869" t="str">
        <f>IF(Base_de_donnee_articles!B861="","",Base_de_donnee_articles!B861)</f>
        <v/>
      </c>
    </row>
    <row r="870" spans="2:2" x14ac:dyDescent="0.35">
      <c r="B870" t="str">
        <f>IF(Base_de_donnee_articles!B862="","",Base_de_donnee_articles!B862)</f>
        <v/>
      </c>
    </row>
    <row r="871" spans="2:2" x14ac:dyDescent="0.35">
      <c r="B871" t="str">
        <f>IF(Base_de_donnee_articles!B863="","",Base_de_donnee_articles!B863)</f>
        <v/>
      </c>
    </row>
    <row r="872" spans="2:2" x14ac:dyDescent="0.35">
      <c r="B872" t="str">
        <f>IF(Base_de_donnee_articles!B864="","",Base_de_donnee_articles!B864)</f>
        <v/>
      </c>
    </row>
    <row r="873" spans="2:2" x14ac:dyDescent="0.35">
      <c r="B873" t="str">
        <f>IF(Base_de_donnee_articles!B865="","",Base_de_donnee_articles!B865)</f>
        <v/>
      </c>
    </row>
    <row r="874" spans="2:2" x14ac:dyDescent="0.35">
      <c r="B874" t="str">
        <f>IF(Base_de_donnee_articles!B866="","",Base_de_donnee_articles!B866)</f>
        <v/>
      </c>
    </row>
    <row r="875" spans="2:2" x14ac:dyDescent="0.35">
      <c r="B875" t="str">
        <f>IF(Base_de_donnee_articles!B867="","",Base_de_donnee_articles!B867)</f>
        <v/>
      </c>
    </row>
    <row r="876" spans="2:2" x14ac:dyDescent="0.35">
      <c r="B876" t="str">
        <f>IF(Base_de_donnee_articles!B868="","",Base_de_donnee_articles!B868)</f>
        <v/>
      </c>
    </row>
    <row r="877" spans="2:2" x14ac:dyDescent="0.35">
      <c r="B877" t="str">
        <f>IF(Base_de_donnee_articles!B869="","",Base_de_donnee_articles!B869)</f>
        <v/>
      </c>
    </row>
    <row r="878" spans="2:2" x14ac:dyDescent="0.35">
      <c r="B878" t="str">
        <f>IF(Base_de_donnee_articles!B870="","",Base_de_donnee_articles!B870)</f>
        <v/>
      </c>
    </row>
    <row r="879" spans="2:2" x14ac:dyDescent="0.35">
      <c r="B879" t="str">
        <f>IF(Base_de_donnee_articles!B871="","",Base_de_donnee_articles!B871)</f>
        <v/>
      </c>
    </row>
    <row r="880" spans="2:2" x14ac:dyDescent="0.35">
      <c r="B880" t="str">
        <f>IF(Base_de_donnee_articles!B872="","",Base_de_donnee_articles!B872)</f>
        <v/>
      </c>
    </row>
    <row r="881" spans="2:2" x14ac:dyDescent="0.35">
      <c r="B881" t="str">
        <f>IF(Base_de_donnee_articles!B873="","",Base_de_donnee_articles!B873)</f>
        <v/>
      </c>
    </row>
    <row r="882" spans="2:2" x14ac:dyDescent="0.35">
      <c r="B882" t="str">
        <f>IF(Base_de_donnee_articles!B874="","",Base_de_donnee_articles!B874)</f>
        <v/>
      </c>
    </row>
    <row r="883" spans="2:2" x14ac:dyDescent="0.35">
      <c r="B883" t="str">
        <f>IF(Base_de_donnee_articles!B875="","",Base_de_donnee_articles!B875)</f>
        <v/>
      </c>
    </row>
    <row r="884" spans="2:2" x14ac:dyDescent="0.35">
      <c r="B884" t="str">
        <f>IF(Base_de_donnee_articles!B876="","",Base_de_donnee_articles!B876)</f>
        <v/>
      </c>
    </row>
    <row r="885" spans="2:2" x14ac:dyDescent="0.35">
      <c r="B885" t="str">
        <f>IF(Base_de_donnee_articles!B877="","",Base_de_donnee_articles!B877)</f>
        <v/>
      </c>
    </row>
    <row r="886" spans="2:2" x14ac:dyDescent="0.35">
      <c r="B886" t="str">
        <f>IF(Base_de_donnee_articles!B878="","",Base_de_donnee_articles!B878)</f>
        <v/>
      </c>
    </row>
    <row r="887" spans="2:2" x14ac:dyDescent="0.35">
      <c r="B887" t="str">
        <f>IF(Base_de_donnee_articles!B879="","",Base_de_donnee_articles!B879)</f>
        <v/>
      </c>
    </row>
    <row r="888" spans="2:2" x14ac:dyDescent="0.35">
      <c r="B888" t="str">
        <f>IF(Base_de_donnee_articles!B880="","",Base_de_donnee_articles!B880)</f>
        <v/>
      </c>
    </row>
    <row r="889" spans="2:2" x14ac:dyDescent="0.35">
      <c r="B889" t="str">
        <f>IF(Base_de_donnee_articles!B881="","",Base_de_donnee_articles!B881)</f>
        <v/>
      </c>
    </row>
    <row r="890" spans="2:2" x14ac:dyDescent="0.35">
      <c r="B890" t="str">
        <f>IF(Base_de_donnee_articles!B882="","",Base_de_donnee_articles!B882)</f>
        <v/>
      </c>
    </row>
    <row r="891" spans="2:2" x14ac:dyDescent="0.35">
      <c r="B891" t="str">
        <f>IF(Base_de_donnee_articles!B883="","",Base_de_donnee_articles!B883)</f>
        <v/>
      </c>
    </row>
    <row r="892" spans="2:2" x14ac:dyDescent="0.35">
      <c r="B892" t="str">
        <f>IF(Base_de_donnee_articles!B884="","",Base_de_donnee_articles!B884)</f>
        <v/>
      </c>
    </row>
    <row r="893" spans="2:2" x14ac:dyDescent="0.35">
      <c r="B893" t="str">
        <f>IF(Base_de_donnee_articles!B885="","",Base_de_donnee_articles!B885)</f>
        <v/>
      </c>
    </row>
    <row r="894" spans="2:2" x14ac:dyDescent="0.35">
      <c r="B894" t="str">
        <f>IF(Base_de_donnee_articles!B886="","",Base_de_donnee_articles!B886)</f>
        <v/>
      </c>
    </row>
    <row r="895" spans="2:2" x14ac:dyDescent="0.35">
      <c r="B895" t="str">
        <f>IF(Base_de_donnee_articles!B887="","",Base_de_donnee_articles!B887)</f>
        <v/>
      </c>
    </row>
    <row r="896" spans="2:2" x14ac:dyDescent="0.35">
      <c r="B896" t="str">
        <f>IF(Base_de_donnee_articles!B888="","",Base_de_donnee_articles!B888)</f>
        <v/>
      </c>
    </row>
    <row r="897" spans="2:2" x14ac:dyDescent="0.35">
      <c r="B897" t="str">
        <f>IF(Base_de_donnee_articles!B889="","",Base_de_donnee_articles!B889)</f>
        <v/>
      </c>
    </row>
    <row r="898" spans="2:2" x14ac:dyDescent="0.35">
      <c r="B898" t="str">
        <f>IF(Base_de_donnee_articles!B890="","",Base_de_donnee_articles!B890)</f>
        <v/>
      </c>
    </row>
    <row r="899" spans="2:2" x14ac:dyDescent="0.35">
      <c r="B899" t="str">
        <f>IF(Base_de_donnee_articles!B891="","",Base_de_donnee_articles!B891)</f>
        <v/>
      </c>
    </row>
    <row r="900" spans="2:2" x14ac:dyDescent="0.35">
      <c r="B900" t="str">
        <f>IF(Base_de_donnee_articles!B892="","",Base_de_donnee_articles!B892)</f>
        <v/>
      </c>
    </row>
    <row r="901" spans="2:2" x14ac:dyDescent="0.35">
      <c r="B901" t="str">
        <f>IF(Base_de_donnee_articles!B893="","",Base_de_donnee_articles!B893)</f>
        <v/>
      </c>
    </row>
    <row r="902" spans="2:2" x14ac:dyDescent="0.35">
      <c r="B902" t="str">
        <f>IF(Base_de_donnee_articles!B894="","",Base_de_donnee_articles!B894)</f>
        <v/>
      </c>
    </row>
    <row r="903" spans="2:2" x14ac:dyDescent="0.35">
      <c r="B903" t="str">
        <f>IF(Base_de_donnee_articles!B895="","",Base_de_donnee_articles!B895)</f>
        <v/>
      </c>
    </row>
    <row r="904" spans="2:2" x14ac:dyDescent="0.35">
      <c r="B904" t="str">
        <f>IF(Base_de_donnee_articles!B896="","",Base_de_donnee_articles!B896)</f>
        <v/>
      </c>
    </row>
    <row r="905" spans="2:2" x14ac:dyDescent="0.35">
      <c r="B905" t="str">
        <f>IF(Base_de_donnee_articles!B897="","",Base_de_donnee_articles!B897)</f>
        <v/>
      </c>
    </row>
    <row r="906" spans="2:2" x14ac:dyDescent="0.35">
      <c r="B906" t="str">
        <f>IF(Base_de_donnee_articles!B898="","",Base_de_donnee_articles!B898)</f>
        <v/>
      </c>
    </row>
    <row r="907" spans="2:2" x14ac:dyDescent="0.35">
      <c r="B907" t="str">
        <f>IF(Base_de_donnee_articles!B899="","",Base_de_donnee_articles!B899)</f>
        <v/>
      </c>
    </row>
    <row r="908" spans="2:2" x14ac:dyDescent="0.35">
      <c r="B908" t="str">
        <f>IF(Base_de_donnee_articles!B900="","",Base_de_donnee_articles!B900)</f>
        <v/>
      </c>
    </row>
    <row r="909" spans="2:2" x14ac:dyDescent="0.35">
      <c r="B909" t="str">
        <f>IF(Base_de_donnee_articles!B901="","",Base_de_donnee_articles!B901)</f>
        <v/>
      </c>
    </row>
    <row r="910" spans="2:2" x14ac:dyDescent="0.35">
      <c r="B910" t="str">
        <f>IF(Base_de_donnee_articles!B902="","",Base_de_donnee_articles!B902)</f>
        <v/>
      </c>
    </row>
    <row r="911" spans="2:2" x14ac:dyDescent="0.35">
      <c r="B911" t="str">
        <f>IF(Base_de_donnee_articles!B903="","",Base_de_donnee_articles!B903)</f>
        <v/>
      </c>
    </row>
    <row r="912" spans="2:2" x14ac:dyDescent="0.35">
      <c r="B912" t="str">
        <f>IF(Base_de_donnee_articles!B904="","",Base_de_donnee_articles!B904)</f>
        <v/>
      </c>
    </row>
    <row r="913" spans="2:2" x14ac:dyDescent="0.35">
      <c r="B913" t="str">
        <f>IF(Base_de_donnee_articles!B905="","",Base_de_donnee_articles!B905)</f>
        <v/>
      </c>
    </row>
    <row r="914" spans="2:2" x14ac:dyDescent="0.35">
      <c r="B914" t="str">
        <f>IF(Base_de_donnee_articles!B906="","",Base_de_donnee_articles!B906)</f>
        <v/>
      </c>
    </row>
    <row r="915" spans="2:2" x14ac:dyDescent="0.35">
      <c r="B915" t="str">
        <f>IF(Base_de_donnee_articles!B907="","",Base_de_donnee_articles!B907)</f>
        <v/>
      </c>
    </row>
    <row r="916" spans="2:2" x14ac:dyDescent="0.35">
      <c r="B916" t="str">
        <f>IF(Base_de_donnee_articles!B908="","",Base_de_donnee_articles!B908)</f>
        <v/>
      </c>
    </row>
    <row r="917" spans="2:2" x14ac:dyDescent="0.35">
      <c r="B917" t="str">
        <f>IF(Base_de_donnee_articles!B909="","",Base_de_donnee_articles!B909)</f>
        <v/>
      </c>
    </row>
    <row r="918" spans="2:2" x14ac:dyDescent="0.35">
      <c r="B918" t="str">
        <f>IF(Base_de_donnee_articles!B910="","",Base_de_donnee_articles!B910)</f>
        <v/>
      </c>
    </row>
    <row r="919" spans="2:2" x14ac:dyDescent="0.35">
      <c r="B919" t="str">
        <f>IF(Base_de_donnee_articles!B911="","",Base_de_donnee_articles!B911)</f>
        <v/>
      </c>
    </row>
    <row r="920" spans="2:2" x14ac:dyDescent="0.35">
      <c r="B920" t="str">
        <f>IF(Base_de_donnee_articles!B912="","",Base_de_donnee_articles!B912)</f>
        <v/>
      </c>
    </row>
    <row r="921" spans="2:2" x14ac:dyDescent="0.35">
      <c r="B921" t="str">
        <f>IF(Base_de_donnee_articles!B913="","",Base_de_donnee_articles!B913)</f>
        <v/>
      </c>
    </row>
    <row r="922" spans="2:2" x14ac:dyDescent="0.35">
      <c r="B922" t="str">
        <f>IF(Base_de_donnee_articles!B914="","",Base_de_donnee_articles!B914)</f>
        <v/>
      </c>
    </row>
    <row r="923" spans="2:2" x14ac:dyDescent="0.35">
      <c r="B923" t="str">
        <f>IF(Base_de_donnee_articles!B915="","",Base_de_donnee_articles!B915)</f>
        <v/>
      </c>
    </row>
    <row r="924" spans="2:2" x14ac:dyDescent="0.35">
      <c r="B924" t="str">
        <f>IF(Base_de_donnee_articles!B916="","",Base_de_donnee_articles!B916)</f>
        <v/>
      </c>
    </row>
    <row r="925" spans="2:2" x14ac:dyDescent="0.35">
      <c r="B925" t="str">
        <f>IF(Base_de_donnee_articles!B917="","",Base_de_donnee_articles!B917)</f>
        <v/>
      </c>
    </row>
    <row r="926" spans="2:2" x14ac:dyDescent="0.35">
      <c r="B926" t="str">
        <f>IF(Base_de_donnee_articles!B918="","",Base_de_donnee_articles!B918)</f>
        <v/>
      </c>
    </row>
    <row r="927" spans="2:2" x14ac:dyDescent="0.35">
      <c r="B927" t="str">
        <f>IF(Base_de_donnee_articles!B919="","",Base_de_donnee_articles!B919)</f>
        <v/>
      </c>
    </row>
    <row r="928" spans="2:2" x14ac:dyDescent="0.35">
      <c r="B928" t="str">
        <f>IF(Base_de_donnee_articles!B920="","",Base_de_donnee_articles!B920)</f>
        <v/>
      </c>
    </row>
    <row r="929" spans="2:2" x14ac:dyDescent="0.35">
      <c r="B929" t="str">
        <f>IF(Base_de_donnee_articles!B921="","",Base_de_donnee_articles!B921)</f>
        <v/>
      </c>
    </row>
    <row r="930" spans="2:2" x14ac:dyDescent="0.35">
      <c r="B930" t="str">
        <f>IF(Base_de_donnee_articles!B922="","",Base_de_donnee_articles!B922)</f>
        <v/>
      </c>
    </row>
    <row r="931" spans="2:2" x14ac:dyDescent="0.35">
      <c r="B931" t="str">
        <f>IF(Base_de_donnee_articles!B923="","",Base_de_donnee_articles!B923)</f>
        <v/>
      </c>
    </row>
    <row r="932" spans="2:2" x14ac:dyDescent="0.35">
      <c r="B932" t="str">
        <f>IF(Base_de_donnee_articles!B924="","",Base_de_donnee_articles!B924)</f>
        <v/>
      </c>
    </row>
    <row r="933" spans="2:2" x14ac:dyDescent="0.35">
      <c r="B933" t="str">
        <f>IF(Base_de_donnee_articles!B925="","",Base_de_donnee_articles!B925)</f>
        <v/>
      </c>
    </row>
    <row r="934" spans="2:2" x14ac:dyDescent="0.35">
      <c r="B934" t="str">
        <f>IF(Base_de_donnee_articles!B926="","",Base_de_donnee_articles!B926)</f>
        <v/>
      </c>
    </row>
    <row r="935" spans="2:2" x14ac:dyDescent="0.35">
      <c r="B935" t="str">
        <f>IF(Base_de_donnee_articles!B927="","",Base_de_donnee_articles!B927)</f>
        <v/>
      </c>
    </row>
    <row r="936" spans="2:2" x14ac:dyDescent="0.35">
      <c r="B936" t="str">
        <f>IF(Base_de_donnee_articles!B928="","",Base_de_donnee_articles!B928)</f>
        <v/>
      </c>
    </row>
    <row r="937" spans="2:2" x14ac:dyDescent="0.35">
      <c r="B937" t="str">
        <f>IF(Base_de_donnee_articles!B929="","",Base_de_donnee_articles!B929)</f>
        <v/>
      </c>
    </row>
    <row r="938" spans="2:2" x14ac:dyDescent="0.35">
      <c r="B938" t="str">
        <f>IF(Base_de_donnee_articles!B930="","",Base_de_donnee_articles!B930)</f>
        <v/>
      </c>
    </row>
    <row r="939" spans="2:2" x14ac:dyDescent="0.35">
      <c r="B939" t="str">
        <f>IF(Base_de_donnee_articles!B931="","",Base_de_donnee_articles!B931)</f>
        <v/>
      </c>
    </row>
    <row r="940" spans="2:2" x14ac:dyDescent="0.35">
      <c r="B940" t="str">
        <f>IF(Base_de_donnee_articles!B932="","",Base_de_donnee_articles!B932)</f>
        <v/>
      </c>
    </row>
    <row r="941" spans="2:2" x14ac:dyDescent="0.35">
      <c r="B941" t="str">
        <f>IF(Base_de_donnee_articles!B933="","",Base_de_donnee_articles!B933)</f>
        <v/>
      </c>
    </row>
    <row r="942" spans="2:2" x14ac:dyDescent="0.35">
      <c r="B942" t="str">
        <f>IF(Base_de_donnee_articles!B934="","",Base_de_donnee_articles!B934)</f>
        <v/>
      </c>
    </row>
    <row r="943" spans="2:2" x14ac:dyDescent="0.35">
      <c r="B943" t="str">
        <f>IF(Base_de_donnee_articles!B935="","",Base_de_donnee_articles!B935)</f>
        <v/>
      </c>
    </row>
    <row r="944" spans="2:2" x14ac:dyDescent="0.35">
      <c r="B944" t="str">
        <f>IF(Base_de_donnee_articles!B936="","",Base_de_donnee_articles!B936)</f>
        <v/>
      </c>
    </row>
    <row r="945" spans="2:2" x14ac:dyDescent="0.35">
      <c r="B945" t="str">
        <f>IF(Base_de_donnee_articles!B937="","",Base_de_donnee_articles!B937)</f>
        <v/>
      </c>
    </row>
    <row r="946" spans="2:2" x14ac:dyDescent="0.35">
      <c r="B946" t="str">
        <f>IF(Base_de_donnee_articles!B938="","",Base_de_donnee_articles!B938)</f>
        <v/>
      </c>
    </row>
    <row r="947" spans="2:2" x14ac:dyDescent="0.35">
      <c r="B947" t="str">
        <f>IF(Base_de_donnee_articles!B939="","",Base_de_donnee_articles!B939)</f>
        <v/>
      </c>
    </row>
    <row r="948" spans="2:2" x14ac:dyDescent="0.35">
      <c r="B948" t="str">
        <f>IF(Base_de_donnee_articles!B940="","",Base_de_donnee_articles!B940)</f>
        <v/>
      </c>
    </row>
    <row r="949" spans="2:2" x14ac:dyDescent="0.35">
      <c r="B949" t="str">
        <f>IF(Base_de_donnee_articles!B941="","",Base_de_donnee_articles!B941)</f>
        <v/>
      </c>
    </row>
    <row r="950" spans="2:2" x14ac:dyDescent="0.35">
      <c r="B950" t="str">
        <f>IF(Base_de_donnee_articles!B942="","",Base_de_donnee_articles!B942)</f>
        <v/>
      </c>
    </row>
    <row r="951" spans="2:2" x14ac:dyDescent="0.35">
      <c r="B951" t="str">
        <f>IF(Base_de_donnee_articles!B943="","",Base_de_donnee_articles!B943)</f>
        <v/>
      </c>
    </row>
    <row r="952" spans="2:2" x14ac:dyDescent="0.35">
      <c r="B952" t="str">
        <f>IF(Base_de_donnee_articles!B944="","",Base_de_donnee_articles!B944)</f>
        <v/>
      </c>
    </row>
    <row r="953" spans="2:2" x14ac:dyDescent="0.35">
      <c r="B953" t="str">
        <f>IF(Base_de_donnee_articles!B945="","",Base_de_donnee_articles!B945)</f>
        <v/>
      </c>
    </row>
    <row r="954" spans="2:2" x14ac:dyDescent="0.35">
      <c r="B954" t="str">
        <f>IF(Base_de_donnee_articles!B946="","",Base_de_donnee_articles!B946)</f>
        <v/>
      </c>
    </row>
    <row r="955" spans="2:2" x14ac:dyDescent="0.35">
      <c r="B955" t="str">
        <f>IF(Base_de_donnee_articles!B947="","",Base_de_donnee_articles!B947)</f>
        <v/>
      </c>
    </row>
    <row r="956" spans="2:2" x14ac:dyDescent="0.35">
      <c r="B956" t="str">
        <f>IF(Base_de_donnee_articles!B948="","",Base_de_donnee_articles!B948)</f>
        <v/>
      </c>
    </row>
    <row r="957" spans="2:2" x14ac:dyDescent="0.35">
      <c r="B957" t="str">
        <f>IF(Base_de_donnee_articles!B949="","",Base_de_donnee_articles!B949)</f>
        <v/>
      </c>
    </row>
    <row r="958" spans="2:2" x14ac:dyDescent="0.35">
      <c r="B958" t="str">
        <f>IF(Base_de_donnee_articles!B950="","",Base_de_donnee_articles!B950)</f>
        <v/>
      </c>
    </row>
    <row r="959" spans="2:2" x14ac:dyDescent="0.35">
      <c r="B959" t="str">
        <f>IF(Base_de_donnee_articles!B951="","",Base_de_donnee_articles!B951)</f>
        <v/>
      </c>
    </row>
    <row r="960" spans="2:2" x14ac:dyDescent="0.35">
      <c r="B960" t="str">
        <f>IF(Base_de_donnee_articles!B952="","",Base_de_donnee_articles!B952)</f>
        <v/>
      </c>
    </row>
    <row r="961" spans="2:2" x14ac:dyDescent="0.35">
      <c r="B961" t="str">
        <f>IF(Base_de_donnee_articles!B953="","",Base_de_donnee_articles!B953)</f>
        <v/>
      </c>
    </row>
    <row r="962" spans="2:2" x14ac:dyDescent="0.35">
      <c r="B962" t="str">
        <f>IF(Base_de_donnee_articles!B954="","",Base_de_donnee_articles!B954)</f>
        <v/>
      </c>
    </row>
    <row r="963" spans="2:2" x14ac:dyDescent="0.35">
      <c r="B963" t="str">
        <f>IF(Base_de_donnee_articles!B955="","",Base_de_donnee_articles!B955)</f>
        <v/>
      </c>
    </row>
    <row r="964" spans="2:2" x14ac:dyDescent="0.35">
      <c r="B964" t="str">
        <f>IF(Base_de_donnee_articles!B956="","",Base_de_donnee_articles!B956)</f>
        <v/>
      </c>
    </row>
    <row r="965" spans="2:2" x14ac:dyDescent="0.35">
      <c r="B965" t="str">
        <f>IF(Base_de_donnee_articles!B957="","",Base_de_donnee_articles!B957)</f>
        <v/>
      </c>
    </row>
    <row r="966" spans="2:2" x14ac:dyDescent="0.35">
      <c r="B966" t="str">
        <f>IF(Base_de_donnee_articles!B958="","",Base_de_donnee_articles!B958)</f>
        <v/>
      </c>
    </row>
    <row r="967" spans="2:2" x14ac:dyDescent="0.35">
      <c r="B967" t="str">
        <f>IF(Base_de_donnee_articles!B959="","",Base_de_donnee_articles!B959)</f>
        <v/>
      </c>
    </row>
    <row r="968" spans="2:2" x14ac:dyDescent="0.35">
      <c r="B968" t="str">
        <f>IF(Base_de_donnee_articles!B960="","",Base_de_donnee_articles!B960)</f>
        <v/>
      </c>
    </row>
    <row r="969" spans="2:2" x14ac:dyDescent="0.35">
      <c r="B969" t="str">
        <f>IF(Base_de_donnee_articles!B961="","",Base_de_donnee_articles!B961)</f>
        <v/>
      </c>
    </row>
    <row r="970" spans="2:2" x14ac:dyDescent="0.35">
      <c r="B970" t="str">
        <f>IF(Base_de_donnee_articles!B962="","",Base_de_donnee_articles!B962)</f>
        <v/>
      </c>
    </row>
    <row r="971" spans="2:2" x14ac:dyDescent="0.35">
      <c r="B971" t="str">
        <f>IF(Base_de_donnee_articles!B963="","",Base_de_donnee_articles!B963)</f>
        <v/>
      </c>
    </row>
    <row r="972" spans="2:2" x14ac:dyDescent="0.35">
      <c r="B972" t="str">
        <f>IF(Base_de_donnee_articles!B964="","",Base_de_donnee_articles!B964)</f>
        <v/>
      </c>
    </row>
    <row r="973" spans="2:2" x14ac:dyDescent="0.35">
      <c r="B973" t="str">
        <f>IF(Base_de_donnee_articles!B965="","",Base_de_donnee_articles!B965)</f>
        <v/>
      </c>
    </row>
    <row r="974" spans="2:2" x14ac:dyDescent="0.35">
      <c r="B974" t="str">
        <f>IF(Base_de_donnee_articles!B966="","",Base_de_donnee_articles!B966)</f>
        <v/>
      </c>
    </row>
    <row r="975" spans="2:2" x14ac:dyDescent="0.35">
      <c r="B975" t="str">
        <f>IF(Base_de_donnee_articles!B967="","",Base_de_donnee_articles!B967)</f>
        <v/>
      </c>
    </row>
    <row r="976" spans="2:2" x14ac:dyDescent="0.35">
      <c r="B976" t="str">
        <f>IF(Base_de_donnee_articles!B968="","",Base_de_donnee_articles!B968)</f>
        <v/>
      </c>
    </row>
    <row r="977" spans="2:2" x14ac:dyDescent="0.35">
      <c r="B977" t="str">
        <f>IF(Base_de_donnee_articles!B969="","",Base_de_donnee_articles!B969)</f>
        <v/>
      </c>
    </row>
    <row r="978" spans="2:2" x14ac:dyDescent="0.35">
      <c r="B978" t="str">
        <f>IF(Base_de_donnee_articles!B970="","",Base_de_donnee_articles!B970)</f>
        <v/>
      </c>
    </row>
    <row r="979" spans="2:2" x14ac:dyDescent="0.35">
      <c r="B979" t="str">
        <f>IF(Base_de_donnee_articles!B971="","",Base_de_donnee_articles!B971)</f>
        <v/>
      </c>
    </row>
    <row r="980" spans="2:2" x14ac:dyDescent="0.35">
      <c r="B980" t="str">
        <f>IF(Base_de_donnee_articles!B972="","",Base_de_donnee_articles!B972)</f>
        <v/>
      </c>
    </row>
    <row r="981" spans="2:2" x14ac:dyDescent="0.35">
      <c r="B981" t="str">
        <f>IF(Base_de_donnee_articles!B973="","",Base_de_donnee_articles!B973)</f>
        <v/>
      </c>
    </row>
    <row r="982" spans="2:2" x14ac:dyDescent="0.35">
      <c r="B982" t="str">
        <f>IF(Base_de_donnee_articles!B974="","",Base_de_donnee_articles!B974)</f>
        <v/>
      </c>
    </row>
    <row r="983" spans="2:2" x14ac:dyDescent="0.35">
      <c r="B983" t="str">
        <f>IF(Base_de_donnee_articles!B975="","",Base_de_donnee_articles!B975)</f>
        <v/>
      </c>
    </row>
    <row r="984" spans="2:2" x14ac:dyDescent="0.35">
      <c r="B984" t="str">
        <f>IF(Base_de_donnee_articles!B976="","",Base_de_donnee_articles!B976)</f>
        <v/>
      </c>
    </row>
    <row r="985" spans="2:2" x14ac:dyDescent="0.35">
      <c r="B985" t="str">
        <f>IF(Base_de_donnee_articles!B977="","",Base_de_donnee_articles!B977)</f>
        <v/>
      </c>
    </row>
    <row r="986" spans="2:2" x14ac:dyDescent="0.35">
      <c r="B986" t="str">
        <f>IF(Base_de_donnee_articles!B978="","",Base_de_donnee_articles!B978)</f>
        <v/>
      </c>
    </row>
    <row r="987" spans="2:2" x14ac:dyDescent="0.35">
      <c r="B987" t="str">
        <f>IF(Base_de_donnee_articles!B979="","",Base_de_donnee_articles!B979)</f>
        <v/>
      </c>
    </row>
    <row r="988" spans="2:2" x14ac:dyDescent="0.35">
      <c r="B988" t="str">
        <f>IF(Base_de_donnee_articles!B980="","",Base_de_donnee_articles!B980)</f>
        <v/>
      </c>
    </row>
    <row r="989" spans="2:2" x14ac:dyDescent="0.35">
      <c r="B989" t="str">
        <f>IF(Base_de_donnee_articles!B981="","",Base_de_donnee_articles!B981)</f>
        <v/>
      </c>
    </row>
    <row r="990" spans="2:2" x14ac:dyDescent="0.35">
      <c r="B990" t="str">
        <f>IF(Base_de_donnee_articles!B982="","",Base_de_donnee_articles!B982)</f>
        <v/>
      </c>
    </row>
    <row r="991" spans="2:2" x14ac:dyDescent="0.35">
      <c r="B991" t="str">
        <f>IF(Base_de_donnee_articles!B983="","",Base_de_donnee_articles!B983)</f>
        <v/>
      </c>
    </row>
    <row r="992" spans="2:2" x14ac:dyDescent="0.35">
      <c r="B992" t="str">
        <f>IF(Base_de_donnee_articles!B984="","",Base_de_donnee_articles!B984)</f>
        <v/>
      </c>
    </row>
    <row r="993" spans="2:2" x14ac:dyDescent="0.35">
      <c r="B993" t="str">
        <f>IF(Base_de_donnee_articles!B985="","",Base_de_donnee_articles!B985)</f>
        <v/>
      </c>
    </row>
    <row r="994" spans="2:2" x14ac:dyDescent="0.35">
      <c r="B994" t="str">
        <f>IF(Base_de_donnee_articles!B986="","",Base_de_donnee_articles!B986)</f>
        <v/>
      </c>
    </row>
    <row r="995" spans="2:2" x14ac:dyDescent="0.35">
      <c r="B995" t="str">
        <f>IF(Base_de_donnee_articles!B987="","",Base_de_donnee_articles!B987)</f>
        <v/>
      </c>
    </row>
    <row r="996" spans="2:2" x14ac:dyDescent="0.35">
      <c r="B996" t="str">
        <f>IF(Base_de_donnee_articles!B988="","",Base_de_donnee_articles!B988)</f>
        <v/>
      </c>
    </row>
    <row r="997" spans="2:2" x14ac:dyDescent="0.35">
      <c r="B997" t="str">
        <f>IF(Base_de_donnee_articles!B989="","",Base_de_donnee_articles!B989)</f>
        <v/>
      </c>
    </row>
    <row r="998" spans="2:2" x14ac:dyDescent="0.35">
      <c r="B998" t="str">
        <f>IF(Base_de_donnee_articles!B990="","",Base_de_donnee_articles!B990)</f>
        <v/>
      </c>
    </row>
    <row r="999" spans="2:2" x14ac:dyDescent="0.35">
      <c r="B999" t="str">
        <f>IF(Base_de_donnee_articles!B991="","",Base_de_donnee_articles!B991)</f>
        <v/>
      </c>
    </row>
    <row r="1000" spans="2:2" x14ac:dyDescent="0.35">
      <c r="B1000" t="str">
        <f>IF(Base_de_donnee_articles!B992="","",Base_de_donnee_articles!B992)</f>
        <v/>
      </c>
    </row>
    <row r="1001" spans="2:2" x14ac:dyDescent="0.35">
      <c r="B1001" t="str">
        <f>IF(Base_de_donnee_articles!B993="","",Base_de_donnee_articles!B993)</f>
        <v/>
      </c>
    </row>
    <row r="1002" spans="2:2" x14ac:dyDescent="0.35">
      <c r="B1002" t="str">
        <f>IF(Base_de_donnee_articles!B994="","",Base_de_donnee_articles!B994)</f>
        <v/>
      </c>
    </row>
    <row r="1003" spans="2:2" x14ac:dyDescent="0.35">
      <c r="B1003" t="str">
        <f>IF(Base_de_donnee_articles!B995="","",Base_de_donnee_articles!B995)</f>
        <v/>
      </c>
    </row>
    <row r="1004" spans="2:2" x14ac:dyDescent="0.35">
      <c r="B1004" t="str">
        <f>IF(Base_de_donnee_articles!B996="","",Base_de_donnee_articles!B996)</f>
        <v/>
      </c>
    </row>
    <row r="1005" spans="2:2" x14ac:dyDescent="0.35">
      <c r="B1005" t="str">
        <f>IF(Base_de_donnee_articles!B997="","",Base_de_donnee_articles!B997)</f>
        <v/>
      </c>
    </row>
    <row r="1006" spans="2:2" x14ac:dyDescent="0.35">
      <c r="B1006" t="str">
        <f>IF(Base_de_donnee_articles!B998="","",Base_de_donnee_articles!B998)</f>
        <v/>
      </c>
    </row>
    <row r="1007" spans="2:2" x14ac:dyDescent="0.35">
      <c r="B1007" t="str">
        <f>IF(Base_de_donnee_articles!B999="","",Base_de_donnee_articles!B999)</f>
        <v/>
      </c>
    </row>
    <row r="1008" spans="2:2" x14ac:dyDescent="0.35">
      <c r="B1008" t="str">
        <f>IF(Base_de_donnee_articles!B1000="","",Base_de_donnee_articles!B1000)</f>
        <v/>
      </c>
    </row>
    <row r="1009" spans="2:2" x14ac:dyDescent="0.35">
      <c r="B1009" t="str">
        <f>IF(Base_de_donnee_articles!B1001="","",Base_de_donnee_articles!B1001)</f>
        <v/>
      </c>
    </row>
    <row r="1010" spans="2:2" x14ac:dyDescent="0.35">
      <c r="B1010" t="str">
        <f>IF(Base_de_donnee_articles!B1002="","",Base_de_donnee_articles!B1002)</f>
        <v/>
      </c>
    </row>
    <row r="1011" spans="2:2" x14ac:dyDescent="0.35">
      <c r="B1011" t="str">
        <f>IF(Base_de_donnee_articles!B1003="","",Base_de_donnee_articles!B1003)</f>
        <v/>
      </c>
    </row>
    <row r="1012" spans="2:2" x14ac:dyDescent="0.35">
      <c r="B1012" t="str">
        <f>IF(Base_de_donnee_articles!B1004="","",Base_de_donnee_articles!B1004)</f>
        <v/>
      </c>
    </row>
    <row r="1013" spans="2:2" x14ac:dyDescent="0.35">
      <c r="B1013" t="str">
        <f>IF(Base_de_donnee_articles!B1005="","",Base_de_donnee_articles!B1005)</f>
        <v/>
      </c>
    </row>
    <row r="1014" spans="2:2" x14ac:dyDescent="0.35">
      <c r="B1014" t="str">
        <f>IF(Base_de_donnee_articles!B1006="","",Base_de_donnee_articles!B1006)</f>
        <v/>
      </c>
    </row>
    <row r="1015" spans="2:2" x14ac:dyDescent="0.35">
      <c r="B1015" t="str">
        <f>IF(Base_de_donnee_articles!B1007="","",Base_de_donnee_articles!B1007)</f>
        <v/>
      </c>
    </row>
    <row r="1016" spans="2:2" x14ac:dyDescent="0.35">
      <c r="B1016" t="str">
        <f>IF(Base_de_donnee_articles!B1008="","",Base_de_donnee_articles!B1008)</f>
        <v/>
      </c>
    </row>
    <row r="1017" spans="2:2" x14ac:dyDescent="0.35">
      <c r="B1017" t="str">
        <f>IF(Base_de_donnee_articles!B1009="","",Base_de_donnee_articles!B1009)</f>
        <v/>
      </c>
    </row>
    <row r="1018" spans="2:2" x14ac:dyDescent="0.35">
      <c r="B1018" t="str">
        <f>IF(Base_de_donnee_articles!B1010="","",Base_de_donnee_articles!B1010)</f>
        <v/>
      </c>
    </row>
    <row r="1019" spans="2:2" x14ac:dyDescent="0.35">
      <c r="B1019" t="str">
        <f>IF(Base_de_donnee_articles!B1011="","",Base_de_donnee_articles!B1011)</f>
        <v/>
      </c>
    </row>
    <row r="1020" spans="2:2" x14ac:dyDescent="0.35">
      <c r="B1020" t="str">
        <f>IF(Base_de_donnee_articles!B1012="","",Base_de_donnee_articles!B1012)</f>
        <v/>
      </c>
    </row>
    <row r="1021" spans="2:2" x14ac:dyDescent="0.35">
      <c r="B1021" t="str">
        <f>IF(Base_de_donnee_articles!B1013="","",Base_de_donnee_articles!B1013)</f>
        <v/>
      </c>
    </row>
    <row r="1022" spans="2:2" x14ac:dyDescent="0.35">
      <c r="B1022" t="str">
        <f>IF(Base_de_donnee_articles!B1014="","",Base_de_donnee_articles!B1014)</f>
        <v/>
      </c>
    </row>
    <row r="1023" spans="2:2" x14ac:dyDescent="0.35">
      <c r="B1023" t="str">
        <f>IF(Base_de_donnee_articles!B1015="","",Base_de_donnee_articles!B1015)</f>
        <v/>
      </c>
    </row>
    <row r="1024" spans="2:2" x14ac:dyDescent="0.35">
      <c r="B1024" t="str">
        <f>IF(Base_de_donnee_articles!B1016="","",Base_de_donnee_articles!B1016)</f>
        <v/>
      </c>
    </row>
    <row r="1025" spans="2:2" x14ac:dyDescent="0.35">
      <c r="B1025" t="str">
        <f>IF(Base_de_donnee_articles!B1017="","",Base_de_donnee_articles!B1017)</f>
        <v/>
      </c>
    </row>
    <row r="1026" spans="2:2" x14ac:dyDescent="0.35">
      <c r="B1026" t="str">
        <f>IF(Base_de_donnee_articles!B1018="","",Base_de_donnee_articles!B1018)</f>
        <v/>
      </c>
    </row>
    <row r="1027" spans="2:2" x14ac:dyDescent="0.35">
      <c r="B1027" t="str">
        <f>IF(Base_de_donnee_articles!B1019="","",Base_de_donnee_articles!B1019)</f>
        <v/>
      </c>
    </row>
    <row r="1028" spans="2:2" x14ac:dyDescent="0.35">
      <c r="B1028" t="str">
        <f>IF(Base_de_donnee_articles!B1020="","",Base_de_donnee_articles!B1020)</f>
        <v/>
      </c>
    </row>
    <row r="1029" spans="2:2" x14ac:dyDescent="0.35">
      <c r="B1029" t="str">
        <f>IF(Base_de_donnee_articles!B1021="","",Base_de_donnee_articles!B1021)</f>
        <v/>
      </c>
    </row>
    <row r="1030" spans="2:2" x14ac:dyDescent="0.35">
      <c r="B1030" t="str">
        <f>IF(Base_de_donnee_articles!B1022="","",Base_de_donnee_articles!B1022)</f>
        <v/>
      </c>
    </row>
    <row r="1031" spans="2:2" x14ac:dyDescent="0.35">
      <c r="B1031" t="str">
        <f>IF(Base_de_donnee_articles!B1023="","",Base_de_donnee_articles!B1023)</f>
        <v/>
      </c>
    </row>
    <row r="1032" spans="2:2" x14ac:dyDescent="0.35">
      <c r="B1032" t="str">
        <f>IF(Base_de_donnee_articles!B1024="","",Base_de_donnee_articles!B1024)</f>
        <v/>
      </c>
    </row>
    <row r="1033" spans="2:2" x14ac:dyDescent="0.35">
      <c r="B1033" t="str">
        <f>IF(Base_de_donnee_articles!B1025="","",Base_de_donnee_articles!B1025)</f>
        <v/>
      </c>
    </row>
    <row r="1034" spans="2:2" x14ac:dyDescent="0.35">
      <c r="B1034" t="str">
        <f>IF(Base_de_donnee_articles!B1026="","",Base_de_donnee_articles!B1026)</f>
        <v/>
      </c>
    </row>
    <row r="1035" spans="2:2" x14ac:dyDescent="0.35">
      <c r="B1035" t="str">
        <f>IF(Base_de_donnee_articles!B1027="","",Base_de_donnee_articles!B1027)</f>
        <v/>
      </c>
    </row>
    <row r="1036" spans="2:2" x14ac:dyDescent="0.35">
      <c r="B1036" t="str">
        <f>IF(Base_de_donnee_articles!B1028="","",Base_de_donnee_articles!B1028)</f>
        <v/>
      </c>
    </row>
    <row r="1037" spans="2:2" x14ac:dyDescent="0.35">
      <c r="B1037" t="str">
        <f>IF(Base_de_donnee_articles!B1029="","",Base_de_donnee_articles!B1029)</f>
        <v/>
      </c>
    </row>
    <row r="1038" spans="2:2" x14ac:dyDescent="0.35">
      <c r="B1038" t="str">
        <f>IF(Base_de_donnee_articles!B1030="","",Base_de_donnee_articles!B1030)</f>
        <v/>
      </c>
    </row>
    <row r="1039" spans="2:2" x14ac:dyDescent="0.35">
      <c r="B1039" t="str">
        <f>IF(Base_de_donnee_articles!B1031="","",Base_de_donnee_articles!B1031)</f>
        <v/>
      </c>
    </row>
    <row r="1040" spans="2:2" x14ac:dyDescent="0.35">
      <c r="B1040" t="str">
        <f>IF(Base_de_donnee_articles!B1032="","",Base_de_donnee_articles!B1032)</f>
        <v/>
      </c>
    </row>
    <row r="1041" spans="2:2" x14ac:dyDescent="0.35">
      <c r="B1041" t="str">
        <f>IF(Base_de_donnee_articles!B1033="","",Base_de_donnee_articles!B1033)</f>
        <v/>
      </c>
    </row>
    <row r="1042" spans="2:2" x14ac:dyDescent="0.35">
      <c r="B1042" t="str">
        <f>IF(Base_de_donnee_articles!B1034="","",Base_de_donnee_articles!B1034)</f>
        <v/>
      </c>
    </row>
    <row r="1043" spans="2:2" x14ac:dyDescent="0.35">
      <c r="B1043" t="str">
        <f>IF(Base_de_donnee_articles!B1035="","",Base_de_donnee_articles!B1035)</f>
        <v/>
      </c>
    </row>
    <row r="1044" spans="2:2" x14ac:dyDescent="0.35">
      <c r="B1044" t="str">
        <f>IF(Base_de_donnee_articles!B1036="","",Base_de_donnee_articles!B1036)</f>
        <v/>
      </c>
    </row>
    <row r="1045" spans="2:2" x14ac:dyDescent="0.35">
      <c r="B1045" t="str">
        <f>IF(Base_de_donnee_articles!B1037="","",Base_de_donnee_articles!B1037)</f>
        <v/>
      </c>
    </row>
    <row r="1046" spans="2:2" x14ac:dyDescent="0.35">
      <c r="B1046" t="str">
        <f>IF(Base_de_donnee_articles!B1038="","",Base_de_donnee_articles!B1038)</f>
        <v/>
      </c>
    </row>
    <row r="1047" spans="2:2" x14ac:dyDescent="0.35">
      <c r="B1047" t="str">
        <f>IF(Base_de_donnee_articles!B1039="","",Base_de_donnee_articles!B1039)</f>
        <v/>
      </c>
    </row>
    <row r="1048" spans="2:2" x14ac:dyDescent="0.35">
      <c r="B1048" t="str">
        <f>IF(Base_de_donnee_articles!B1040="","",Base_de_donnee_articles!B1040)</f>
        <v/>
      </c>
    </row>
    <row r="1049" spans="2:2" x14ac:dyDescent="0.35">
      <c r="B1049" t="str">
        <f>IF(Base_de_donnee_articles!B1041="","",Base_de_donnee_articles!B1041)</f>
        <v/>
      </c>
    </row>
    <row r="1050" spans="2:2" x14ac:dyDescent="0.35">
      <c r="B1050" t="str">
        <f>IF(Base_de_donnee_articles!B1042="","",Base_de_donnee_articles!B1042)</f>
        <v/>
      </c>
    </row>
    <row r="1051" spans="2:2" x14ac:dyDescent="0.35">
      <c r="B1051" t="str">
        <f>IF(Base_de_donnee_articles!B1043="","",Base_de_donnee_articles!B1043)</f>
        <v/>
      </c>
    </row>
    <row r="1052" spans="2:2" x14ac:dyDescent="0.35">
      <c r="B1052" t="str">
        <f>IF(Base_de_donnee_articles!B1044="","",Base_de_donnee_articles!B1044)</f>
        <v/>
      </c>
    </row>
    <row r="1053" spans="2:2" x14ac:dyDescent="0.35">
      <c r="B1053" t="str">
        <f>IF(Base_de_donnee_articles!B1045="","",Base_de_donnee_articles!B1045)</f>
        <v/>
      </c>
    </row>
    <row r="1054" spans="2:2" x14ac:dyDescent="0.35">
      <c r="B1054" t="str">
        <f>IF(Base_de_donnee_articles!B1046="","",Base_de_donnee_articles!B1046)</f>
        <v/>
      </c>
    </row>
    <row r="1055" spans="2:2" x14ac:dyDescent="0.35">
      <c r="B1055" t="str">
        <f>IF(Base_de_donnee_articles!B1047="","",Base_de_donnee_articles!B1047)</f>
        <v/>
      </c>
    </row>
    <row r="1056" spans="2:2" x14ac:dyDescent="0.35">
      <c r="B1056" t="str">
        <f>IF(Base_de_donnee_articles!B1048="","",Base_de_donnee_articles!B1048)</f>
        <v/>
      </c>
    </row>
    <row r="1057" spans="2:2" x14ac:dyDescent="0.35">
      <c r="B1057" t="str">
        <f>IF(Base_de_donnee_articles!B1049="","",Base_de_donnee_articles!B1049)</f>
        <v/>
      </c>
    </row>
    <row r="1058" spans="2:2" x14ac:dyDescent="0.35">
      <c r="B1058" t="str">
        <f>IF(Base_de_donnee_articles!B1050="","",Base_de_donnee_articles!B1050)</f>
        <v/>
      </c>
    </row>
    <row r="1059" spans="2:2" x14ac:dyDescent="0.35">
      <c r="B1059" t="str">
        <f>IF(Base_de_donnee_articles!B1051="","",Base_de_donnee_articles!B1051)</f>
        <v/>
      </c>
    </row>
    <row r="1060" spans="2:2" x14ac:dyDescent="0.35">
      <c r="B1060" t="str">
        <f>IF(Base_de_donnee_articles!B1052="","",Base_de_donnee_articles!B1052)</f>
        <v/>
      </c>
    </row>
    <row r="1061" spans="2:2" x14ac:dyDescent="0.35">
      <c r="B1061" t="str">
        <f>IF(Base_de_donnee_articles!B1053="","",Base_de_donnee_articles!B1053)</f>
        <v/>
      </c>
    </row>
    <row r="1062" spans="2:2" x14ac:dyDescent="0.35">
      <c r="B1062" t="str">
        <f>IF(Base_de_donnee_articles!B1054="","",Base_de_donnee_articles!B1054)</f>
        <v/>
      </c>
    </row>
    <row r="1063" spans="2:2" x14ac:dyDescent="0.35">
      <c r="B1063" t="str">
        <f>IF(Base_de_donnee_articles!B1055="","",Base_de_donnee_articles!B1055)</f>
        <v/>
      </c>
    </row>
    <row r="1064" spans="2:2" x14ac:dyDescent="0.35">
      <c r="B1064" t="str">
        <f>IF(Base_de_donnee_articles!B1056="","",Base_de_donnee_articles!B1056)</f>
        <v/>
      </c>
    </row>
    <row r="1065" spans="2:2" x14ac:dyDescent="0.35">
      <c r="B1065" t="str">
        <f>IF(Base_de_donnee_articles!B1057="","",Base_de_donnee_articles!B1057)</f>
        <v/>
      </c>
    </row>
    <row r="1066" spans="2:2" x14ac:dyDescent="0.35">
      <c r="B1066" t="str">
        <f>IF(Base_de_donnee_articles!B1058="","",Base_de_donnee_articles!B1058)</f>
        <v/>
      </c>
    </row>
    <row r="1067" spans="2:2" x14ac:dyDescent="0.35">
      <c r="B1067" t="str">
        <f>IF(Base_de_donnee_articles!B1059="","",Base_de_donnee_articles!B1059)</f>
        <v/>
      </c>
    </row>
    <row r="1068" spans="2:2" x14ac:dyDescent="0.35">
      <c r="B1068" t="str">
        <f>IF(Base_de_donnee_articles!B1060="","",Base_de_donnee_articles!B1060)</f>
        <v/>
      </c>
    </row>
    <row r="1069" spans="2:2" x14ac:dyDescent="0.35">
      <c r="B1069" t="str">
        <f>IF(Base_de_donnee_articles!B1061="","",Base_de_donnee_articles!B1061)</f>
        <v/>
      </c>
    </row>
    <row r="1070" spans="2:2" x14ac:dyDescent="0.35">
      <c r="B1070" t="str">
        <f>IF(Base_de_donnee_articles!B1062="","",Base_de_donnee_articles!B1062)</f>
        <v/>
      </c>
    </row>
    <row r="1071" spans="2:2" x14ac:dyDescent="0.35">
      <c r="B1071" t="str">
        <f>IF(Base_de_donnee_articles!B1063="","",Base_de_donnee_articles!B1063)</f>
        <v/>
      </c>
    </row>
    <row r="1072" spans="2:2" x14ac:dyDescent="0.35">
      <c r="B1072" t="str">
        <f>IF(Base_de_donnee_articles!B1064="","",Base_de_donnee_articles!B1064)</f>
        <v/>
      </c>
    </row>
    <row r="1073" spans="2:2" x14ac:dyDescent="0.35">
      <c r="B1073" t="str">
        <f>IF(Base_de_donnee_articles!B1065="","",Base_de_donnee_articles!B1065)</f>
        <v/>
      </c>
    </row>
    <row r="1074" spans="2:2" x14ac:dyDescent="0.35">
      <c r="B1074" t="str">
        <f>IF(Base_de_donnee_articles!B1066="","",Base_de_donnee_articles!B1066)</f>
        <v/>
      </c>
    </row>
    <row r="1075" spans="2:2" x14ac:dyDescent="0.35">
      <c r="B1075" t="str">
        <f>IF(Base_de_donnee_articles!B1067="","",Base_de_donnee_articles!B1067)</f>
        <v/>
      </c>
    </row>
    <row r="1076" spans="2:2" x14ac:dyDescent="0.35">
      <c r="B1076" t="str">
        <f>IF(Base_de_donnee_articles!B1068="","",Base_de_donnee_articles!B1068)</f>
        <v/>
      </c>
    </row>
    <row r="1077" spans="2:2" x14ac:dyDescent="0.35">
      <c r="B1077" t="str">
        <f>IF(Base_de_donnee_articles!B1069="","",Base_de_donnee_articles!B1069)</f>
        <v/>
      </c>
    </row>
    <row r="1078" spans="2:2" x14ac:dyDescent="0.35">
      <c r="B1078" t="str">
        <f>IF(Base_de_donnee_articles!B1070="","",Base_de_donnee_articles!B1070)</f>
        <v/>
      </c>
    </row>
    <row r="1079" spans="2:2" x14ac:dyDescent="0.35">
      <c r="B1079" t="str">
        <f>IF(Base_de_donnee_articles!B1071="","",Base_de_donnee_articles!B1071)</f>
        <v/>
      </c>
    </row>
    <row r="1080" spans="2:2" x14ac:dyDescent="0.35">
      <c r="B1080" t="str">
        <f>IF(Base_de_donnee_articles!B1072="","",Base_de_donnee_articles!B1072)</f>
        <v/>
      </c>
    </row>
    <row r="1081" spans="2:2" x14ac:dyDescent="0.35">
      <c r="B1081" t="str">
        <f>IF(Base_de_donnee_articles!B1073="","",Base_de_donnee_articles!B1073)</f>
        <v/>
      </c>
    </row>
    <row r="1082" spans="2:2" x14ac:dyDescent="0.35">
      <c r="B1082" t="str">
        <f>IF(Base_de_donnee_articles!B1074="","",Base_de_donnee_articles!B1074)</f>
        <v/>
      </c>
    </row>
    <row r="1083" spans="2:2" x14ac:dyDescent="0.35">
      <c r="B1083" t="str">
        <f>IF(Base_de_donnee_articles!B1075="","",Base_de_donnee_articles!B1075)</f>
        <v/>
      </c>
    </row>
    <row r="1084" spans="2:2" x14ac:dyDescent="0.35">
      <c r="B1084" t="str">
        <f>IF(Base_de_donnee_articles!B1076="","",Base_de_donnee_articles!B1076)</f>
        <v/>
      </c>
    </row>
    <row r="1085" spans="2:2" x14ac:dyDescent="0.35">
      <c r="B1085" t="str">
        <f>IF(Base_de_donnee_articles!B1077="","",Base_de_donnee_articles!B1077)</f>
        <v/>
      </c>
    </row>
    <row r="1086" spans="2:2" x14ac:dyDescent="0.35">
      <c r="B1086" t="str">
        <f>IF(Base_de_donnee_articles!B1078="","",Base_de_donnee_articles!B1078)</f>
        <v/>
      </c>
    </row>
    <row r="1087" spans="2:2" x14ac:dyDescent="0.35">
      <c r="B1087" t="str">
        <f>IF(Base_de_donnee_articles!B1079="","",Base_de_donnee_articles!B1079)</f>
        <v/>
      </c>
    </row>
    <row r="1088" spans="2:2" x14ac:dyDescent="0.35">
      <c r="B1088" t="str">
        <f>IF(Base_de_donnee_articles!B1080="","",Base_de_donnee_articles!B1080)</f>
        <v/>
      </c>
    </row>
    <row r="1089" spans="2:2" x14ac:dyDescent="0.35">
      <c r="B1089" t="str">
        <f>IF(Base_de_donnee_articles!B1081="","",Base_de_donnee_articles!B1081)</f>
        <v/>
      </c>
    </row>
    <row r="1090" spans="2:2" x14ac:dyDescent="0.35">
      <c r="B1090" t="str">
        <f>IF(Base_de_donnee_articles!B1082="","",Base_de_donnee_articles!B1082)</f>
        <v/>
      </c>
    </row>
    <row r="1091" spans="2:2" x14ac:dyDescent="0.35">
      <c r="B1091" t="str">
        <f>IF(Base_de_donnee_articles!B1083="","",Base_de_donnee_articles!B1083)</f>
        <v/>
      </c>
    </row>
    <row r="1092" spans="2:2" x14ac:dyDescent="0.35">
      <c r="B1092" t="str">
        <f>IF(Base_de_donnee_articles!B1084="","",Base_de_donnee_articles!B1084)</f>
        <v/>
      </c>
    </row>
    <row r="1093" spans="2:2" x14ac:dyDescent="0.35">
      <c r="B1093" t="str">
        <f>IF(Base_de_donnee_articles!B1085="","",Base_de_donnee_articles!B1085)</f>
        <v/>
      </c>
    </row>
    <row r="1094" spans="2:2" x14ac:dyDescent="0.35">
      <c r="B1094" t="str">
        <f>IF(Base_de_donnee_articles!B1086="","",Base_de_donnee_articles!B1086)</f>
        <v/>
      </c>
    </row>
    <row r="1095" spans="2:2" x14ac:dyDescent="0.35">
      <c r="B1095" t="str">
        <f>IF(Base_de_donnee_articles!B1087="","",Base_de_donnee_articles!B1087)</f>
        <v/>
      </c>
    </row>
    <row r="1096" spans="2:2" x14ac:dyDescent="0.35">
      <c r="B1096" t="str">
        <f>IF(Base_de_donnee_articles!B1088="","",Base_de_donnee_articles!B1088)</f>
        <v/>
      </c>
    </row>
    <row r="1097" spans="2:2" x14ac:dyDescent="0.35">
      <c r="B1097" t="str">
        <f>IF(Base_de_donnee_articles!B1089="","",Base_de_donnee_articles!B1089)</f>
        <v/>
      </c>
    </row>
    <row r="1098" spans="2:2" x14ac:dyDescent="0.35">
      <c r="B1098" t="str">
        <f>IF(Base_de_donnee_articles!B1090="","",Base_de_donnee_articles!B1090)</f>
        <v/>
      </c>
    </row>
    <row r="1099" spans="2:2" x14ac:dyDescent="0.35">
      <c r="B1099" t="str">
        <f>IF(Base_de_donnee_articles!B1091="","",Base_de_donnee_articles!B1091)</f>
        <v/>
      </c>
    </row>
    <row r="1100" spans="2:2" x14ac:dyDescent="0.35">
      <c r="B1100" t="str">
        <f>IF(Base_de_donnee_articles!B1092="","",Base_de_donnee_articles!B1092)</f>
        <v/>
      </c>
    </row>
    <row r="1101" spans="2:2" x14ac:dyDescent="0.35">
      <c r="B1101" t="str">
        <f>IF(Base_de_donnee_articles!B1093="","",Base_de_donnee_articles!B1093)</f>
        <v/>
      </c>
    </row>
    <row r="1102" spans="2:2" x14ac:dyDescent="0.35">
      <c r="B1102" t="str">
        <f>IF(Base_de_donnee_articles!B1094="","",Base_de_donnee_articles!B1094)</f>
        <v/>
      </c>
    </row>
    <row r="1103" spans="2:2" x14ac:dyDescent="0.35">
      <c r="B1103" t="str">
        <f>IF(Base_de_donnee_articles!B1095="","",Base_de_donnee_articles!B1095)</f>
        <v/>
      </c>
    </row>
    <row r="1104" spans="2:2" x14ac:dyDescent="0.35">
      <c r="B1104" t="str">
        <f>IF(Base_de_donnee_articles!B1096="","",Base_de_donnee_articles!B1096)</f>
        <v/>
      </c>
    </row>
    <row r="1105" spans="2:2" x14ac:dyDescent="0.35">
      <c r="B1105" t="str">
        <f>IF(Base_de_donnee_articles!B1097="","",Base_de_donnee_articles!B1097)</f>
        <v/>
      </c>
    </row>
    <row r="1106" spans="2:2" x14ac:dyDescent="0.35">
      <c r="B1106" t="str">
        <f>IF(Base_de_donnee_articles!B1098="","",Base_de_donnee_articles!B1098)</f>
        <v/>
      </c>
    </row>
    <row r="1107" spans="2:2" x14ac:dyDescent="0.35">
      <c r="B1107" t="str">
        <f>IF(Base_de_donnee_articles!B1099="","",Base_de_donnee_articles!B1099)</f>
        <v/>
      </c>
    </row>
    <row r="1108" spans="2:2" x14ac:dyDescent="0.35">
      <c r="B1108" t="str">
        <f>IF(Base_de_donnee_articles!B1100="","",Base_de_donnee_articles!B1100)</f>
        <v/>
      </c>
    </row>
    <row r="1109" spans="2:2" x14ac:dyDescent="0.35">
      <c r="B1109" t="str">
        <f>IF(Base_de_donnee_articles!B1101="","",Base_de_donnee_articles!B1101)</f>
        <v/>
      </c>
    </row>
    <row r="1110" spans="2:2" x14ac:dyDescent="0.35">
      <c r="B1110" t="str">
        <f>IF(Base_de_donnee_articles!B1102="","",Base_de_donnee_articles!B1102)</f>
        <v/>
      </c>
    </row>
    <row r="1111" spans="2:2" x14ac:dyDescent="0.35">
      <c r="B1111" t="str">
        <f>IF(Base_de_donnee_articles!B1103="","",Base_de_donnee_articles!B1103)</f>
        <v/>
      </c>
    </row>
    <row r="1112" spans="2:2" x14ac:dyDescent="0.35">
      <c r="B1112" t="str">
        <f>IF(Base_de_donnee_articles!B1104="","",Base_de_donnee_articles!B1104)</f>
        <v/>
      </c>
    </row>
    <row r="1113" spans="2:2" x14ac:dyDescent="0.35">
      <c r="B1113" t="str">
        <f>IF(Base_de_donnee_articles!B1105="","",Base_de_donnee_articles!B1105)</f>
        <v/>
      </c>
    </row>
    <row r="1114" spans="2:2" x14ac:dyDescent="0.35">
      <c r="B1114" t="str">
        <f>IF(Base_de_donnee_articles!B1106="","",Base_de_donnee_articles!B1106)</f>
        <v/>
      </c>
    </row>
    <row r="1115" spans="2:2" x14ac:dyDescent="0.35">
      <c r="B1115" t="str">
        <f>IF(Base_de_donnee_articles!B1107="","",Base_de_donnee_articles!B1107)</f>
        <v/>
      </c>
    </row>
    <row r="1116" spans="2:2" x14ac:dyDescent="0.35">
      <c r="B1116" t="str">
        <f>IF(Base_de_donnee_articles!B1108="","",Base_de_donnee_articles!B1108)</f>
        <v/>
      </c>
    </row>
    <row r="1117" spans="2:2" x14ac:dyDescent="0.35">
      <c r="B1117" t="str">
        <f>IF(Base_de_donnee_articles!B1109="","",Base_de_donnee_articles!B1109)</f>
        <v/>
      </c>
    </row>
    <row r="1118" spans="2:2" x14ac:dyDescent="0.35">
      <c r="B1118" t="str">
        <f>IF(Base_de_donnee_articles!B1110="","",Base_de_donnee_articles!B1110)</f>
        <v/>
      </c>
    </row>
    <row r="1119" spans="2:2" x14ac:dyDescent="0.35">
      <c r="B1119" t="str">
        <f>IF(Base_de_donnee_articles!B1111="","",Base_de_donnee_articles!B1111)</f>
        <v/>
      </c>
    </row>
    <row r="1120" spans="2:2" x14ac:dyDescent="0.35">
      <c r="B1120" t="str">
        <f>IF(Base_de_donnee_articles!B1112="","",Base_de_donnee_articles!B1112)</f>
        <v/>
      </c>
    </row>
    <row r="1121" spans="2:2" x14ac:dyDescent="0.35">
      <c r="B1121" t="str">
        <f>IF(Base_de_donnee_articles!B1113="","",Base_de_donnee_articles!B1113)</f>
        <v/>
      </c>
    </row>
    <row r="1122" spans="2:2" x14ac:dyDescent="0.35">
      <c r="B1122" t="str">
        <f>IF(Base_de_donnee_articles!B1114="","",Base_de_donnee_articles!B1114)</f>
        <v/>
      </c>
    </row>
    <row r="1123" spans="2:2" x14ac:dyDescent="0.35">
      <c r="B1123" t="str">
        <f>IF(Base_de_donnee_articles!B1115="","",Base_de_donnee_articles!B1115)</f>
        <v/>
      </c>
    </row>
    <row r="1124" spans="2:2" x14ac:dyDescent="0.35">
      <c r="B1124" t="str">
        <f>IF(Base_de_donnee_articles!B1116="","",Base_de_donnee_articles!B1116)</f>
        <v/>
      </c>
    </row>
    <row r="1125" spans="2:2" x14ac:dyDescent="0.35">
      <c r="B1125" t="str">
        <f>IF(Base_de_donnee_articles!B1117="","",Base_de_donnee_articles!B1117)</f>
        <v/>
      </c>
    </row>
    <row r="1126" spans="2:2" x14ac:dyDescent="0.35">
      <c r="B1126" t="str">
        <f>IF(Base_de_donnee_articles!B1118="","",Base_de_donnee_articles!B1118)</f>
        <v/>
      </c>
    </row>
    <row r="1127" spans="2:2" x14ac:dyDescent="0.35">
      <c r="B1127" t="str">
        <f>IF(Base_de_donnee_articles!B1119="","",Base_de_donnee_articles!B1119)</f>
        <v/>
      </c>
    </row>
    <row r="1128" spans="2:2" x14ac:dyDescent="0.35">
      <c r="B1128" t="str">
        <f>IF(Base_de_donnee_articles!B1120="","",Base_de_donnee_articles!B1120)</f>
        <v/>
      </c>
    </row>
    <row r="1129" spans="2:2" x14ac:dyDescent="0.35">
      <c r="B1129" t="str">
        <f>IF(Base_de_donnee_articles!B1121="","",Base_de_donnee_articles!B1121)</f>
        <v/>
      </c>
    </row>
    <row r="1130" spans="2:2" x14ac:dyDescent="0.35">
      <c r="B1130" t="str">
        <f>IF(Base_de_donnee_articles!B1122="","",Base_de_donnee_articles!B1122)</f>
        <v/>
      </c>
    </row>
    <row r="1131" spans="2:2" x14ac:dyDescent="0.35">
      <c r="B1131" t="str">
        <f>IF(Base_de_donnee_articles!B1123="","",Base_de_donnee_articles!B1123)</f>
        <v/>
      </c>
    </row>
    <row r="1132" spans="2:2" x14ac:dyDescent="0.35">
      <c r="B1132" t="str">
        <f>IF(Base_de_donnee_articles!B1124="","",Base_de_donnee_articles!B1124)</f>
        <v/>
      </c>
    </row>
    <row r="1133" spans="2:2" x14ac:dyDescent="0.35">
      <c r="B1133" t="str">
        <f>IF(Base_de_donnee_articles!B1125="","",Base_de_donnee_articles!B1125)</f>
        <v/>
      </c>
    </row>
    <row r="1134" spans="2:2" x14ac:dyDescent="0.35">
      <c r="B1134" t="str">
        <f>IF(Base_de_donnee_articles!B1126="","",Base_de_donnee_articles!B1126)</f>
        <v/>
      </c>
    </row>
    <row r="1135" spans="2:2" x14ac:dyDescent="0.35">
      <c r="B1135" t="str">
        <f>IF(Base_de_donnee_articles!B1127="","",Base_de_donnee_articles!B1127)</f>
        <v/>
      </c>
    </row>
    <row r="1136" spans="2:2" x14ac:dyDescent="0.35">
      <c r="B1136" t="str">
        <f>IF(Base_de_donnee_articles!B1128="","",Base_de_donnee_articles!B1128)</f>
        <v/>
      </c>
    </row>
    <row r="1137" spans="2:2" x14ac:dyDescent="0.35">
      <c r="B1137" t="str">
        <f>IF(Base_de_donnee_articles!B1129="","",Base_de_donnee_articles!B1129)</f>
        <v/>
      </c>
    </row>
    <row r="1138" spans="2:2" x14ac:dyDescent="0.35">
      <c r="B1138" t="str">
        <f>IF(Base_de_donnee_articles!B1130="","",Base_de_donnee_articles!B1130)</f>
        <v/>
      </c>
    </row>
    <row r="1139" spans="2:2" x14ac:dyDescent="0.35">
      <c r="B1139" t="str">
        <f>IF(Base_de_donnee_articles!B1131="","",Base_de_donnee_articles!B1131)</f>
        <v/>
      </c>
    </row>
    <row r="1140" spans="2:2" x14ac:dyDescent="0.35">
      <c r="B1140" t="str">
        <f>IF(Base_de_donnee_articles!B1132="","",Base_de_donnee_articles!B1132)</f>
        <v/>
      </c>
    </row>
    <row r="1141" spans="2:2" x14ac:dyDescent="0.35">
      <c r="B1141" t="str">
        <f>IF(Base_de_donnee_articles!B1133="","",Base_de_donnee_articles!B1133)</f>
        <v/>
      </c>
    </row>
    <row r="1142" spans="2:2" x14ac:dyDescent="0.35">
      <c r="B1142" t="str">
        <f>IF(Base_de_donnee_articles!B1134="","",Base_de_donnee_articles!B1134)</f>
        <v/>
      </c>
    </row>
    <row r="1143" spans="2:2" x14ac:dyDescent="0.35">
      <c r="B1143" t="str">
        <f>IF(Base_de_donnee_articles!B1135="","",Base_de_donnee_articles!B1135)</f>
        <v/>
      </c>
    </row>
    <row r="1144" spans="2:2" x14ac:dyDescent="0.35">
      <c r="B1144" t="str">
        <f>IF(Base_de_donnee_articles!B1136="","",Base_de_donnee_articles!B1136)</f>
        <v/>
      </c>
    </row>
    <row r="1145" spans="2:2" x14ac:dyDescent="0.35">
      <c r="B1145" t="str">
        <f>IF(Base_de_donnee_articles!B1137="","",Base_de_donnee_articles!B1137)</f>
        <v/>
      </c>
    </row>
    <row r="1146" spans="2:2" x14ac:dyDescent="0.35">
      <c r="B1146" t="str">
        <f>IF(Base_de_donnee_articles!B1138="","",Base_de_donnee_articles!B1138)</f>
        <v/>
      </c>
    </row>
    <row r="1147" spans="2:2" x14ac:dyDescent="0.35">
      <c r="B1147" t="str">
        <f>IF(Base_de_donnee_articles!B1139="","",Base_de_donnee_articles!B1139)</f>
        <v/>
      </c>
    </row>
    <row r="1148" spans="2:2" x14ac:dyDescent="0.35">
      <c r="B1148" t="str">
        <f>IF(Base_de_donnee_articles!B1140="","",Base_de_donnee_articles!B1140)</f>
        <v/>
      </c>
    </row>
    <row r="1149" spans="2:2" x14ac:dyDescent="0.35">
      <c r="B1149" t="str">
        <f>IF(Base_de_donnee_articles!B1141="","",Base_de_donnee_articles!B1141)</f>
        <v/>
      </c>
    </row>
    <row r="1150" spans="2:2" x14ac:dyDescent="0.35">
      <c r="B1150" t="str">
        <f>IF(Base_de_donnee_articles!B1142="","",Base_de_donnee_articles!B1142)</f>
        <v/>
      </c>
    </row>
    <row r="1151" spans="2:2" x14ac:dyDescent="0.35">
      <c r="B1151" t="str">
        <f>IF(Base_de_donnee_articles!B1143="","",Base_de_donnee_articles!B1143)</f>
        <v/>
      </c>
    </row>
    <row r="1152" spans="2:2" x14ac:dyDescent="0.35">
      <c r="B1152" t="str">
        <f>IF(Base_de_donnee_articles!B1144="","",Base_de_donnee_articles!B1144)</f>
        <v/>
      </c>
    </row>
    <row r="1153" spans="2:2" x14ac:dyDescent="0.35">
      <c r="B1153" t="str">
        <f>IF(Base_de_donnee_articles!B1145="","",Base_de_donnee_articles!B1145)</f>
        <v/>
      </c>
    </row>
    <row r="1154" spans="2:2" x14ac:dyDescent="0.35">
      <c r="B1154" t="str">
        <f>IF(Base_de_donnee_articles!B1146="","",Base_de_donnee_articles!B1146)</f>
        <v/>
      </c>
    </row>
    <row r="1155" spans="2:2" x14ac:dyDescent="0.35">
      <c r="B1155" t="str">
        <f>IF(Base_de_donnee_articles!B1147="","",Base_de_donnee_articles!B1147)</f>
        <v/>
      </c>
    </row>
    <row r="1156" spans="2:2" x14ac:dyDescent="0.35">
      <c r="B1156" t="str">
        <f>IF(Base_de_donnee_articles!B1148="","",Base_de_donnee_articles!B1148)</f>
        <v/>
      </c>
    </row>
    <row r="1157" spans="2:2" x14ac:dyDescent="0.35">
      <c r="B1157" t="str">
        <f>IF(Base_de_donnee_articles!B1149="","",Base_de_donnee_articles!B1149)</f>
        <v/>
      </c>
    </row>
    <row r="1158" spans="2:2" x14ac:dyDescent="0.35">
      <c r="B1158" t="str">
        <f>IF(Base_de_donnee_articles!B1150="","",Base_de_donnee_articles!B1150)</f>
        <v/>
      </c>
    </row>
    <row r="1159" spans="2:2" x14ac:dyDescent="0.35">
      <c r="B1159" t="str">
        <f>IF(Base_de_donnee_articles!B1151="","",Base_de_donnee_articles!B1151)</f>
        <v/>
      </c>
    </row>
    <row r="1160" spans="2:2" x14ac:dyDescent="0.35">
      <c r="B1160" t="str">
        <f>IF(Base_de_donnee_articles!B1152="","",Base_de_donnee_articles!B1152)</f>
        <v/>
      </c>
    </row>
    <row r="1161" spans="2:2" x14ac:dyDescent="0.35">
      <c r="B1161" t="str">
        <f>IF(Base_de_donnee_articles!B1153="","",Base_de_donnee_articles!B1153)</f>
        <v/>
      </c>
    </row>
    <row r="1162" spans="2:2" x14ac:dyDescent="0.35">
      <c r="B1162" t="str">
        <f>IF(Base_de_donnee_articles!B1154="","",Base_de_donnee_articles!B1154)</f>
        <v/>
      </c>
    </row>
    <row r="1163" spans="2:2" x14ac:dyDescent="0.35">
      <c r="B1163" t="str">
        <f>IF(Base_de_donnee_articles!B1155="","",Base_de_donnee_articles!B1155)</f>
        <v/>
      </c>
    </row>
    <row r="1164" spans="2:2" x14ac:dyDescent="0.35">
      <c r="B1164" t="str">
        <f>IF(Base_de_donnee_articles!B1156="","",Base_de_donnee_articles!B1156)</f>
        <v/>
      </c>
    </row>
    <row r="1165" spans="2:2" x14ac:dyDescent="0.35">
      <c r="B1165" t="str">
        <f>IF(Base_de_donnee_articles!B1157="","",Base_de_donnee_articles!B1157)</f>
        <v/>
      </c>
    </row>
    <row r="1166" spans="2:2" x14ac:dyDescent="0.35">
      <c r="B1166" t="str">
        <f>IF(Base_de_donnee_articles!B1158="","",Base_de_donnee_articles!B1158)</f>
        <v/>
      </c>
    </row>
    <row r="1167" spans="2:2" x14ac:dyDescent="0.35">
      <c r="B1167" t="str">
        <f>IF(Base_de_donnee_articles!B1159="","",Base_de_donnee_articles!B1159)</f>
        <v/>
      </c>
    </row>
    <row r="1168" spans="2:2" x14ac:dyDescent="0.35">
      <c r="B1168" t="str">
        <f>IF(Base_de_donnee_articles!B1160="","",Base_de_donnee_articles!B1160)</f>
        <v/>
      </c>
    </row>
    <row r="1169" spans="2:2" x14ac:dyDescent="0.35">
      <c r="B1169" t="str">
        <f>IF(Base_de_donnee_articles!B1161="","",Base_de_donnee_articles!B1161)</f>
        <v/>
      </c>
    </row>
    <row r="1170" spans="2:2" x14ac:dyDescent="0.35">
      <c r="B1170" t="str">
        <f>IF(Base_de_donnee_articles!B1162="","",Base_de_donnee_articles!B1162)</f>
        <v/>
      </c>
    </row>
    <row r="1171" spans="2:2" x14ac:dyDescent="0.35">
      <c r="B1171" t="str">
        <f>IF(Base_de_donnee_articles!B1163="","",Base_de_donnee_articles!B1163)</f>
        <v/>
      </c>
    </row>
    <row r="1172" spans="2:2" x14ac:dyDescent="0.35">
      <c r="B1172" t="str">
        <f>IF(Base_de_donnee_articles!B1164="","",Base_de_donnee_articles!B1164)</f>
        <v/>
      </c>
    </row>
    <row r="1173" spans="2:2" x14ac:dyDescent="0.35">
      <c r="B1173" t="str">
        <f>IF(Base_de_donnee_articles!B1165="","",Base_de_donnee_articles!B1165)</f>
        <v/>
      </c>
    </row>
    <row r="1174" spans="2:2" x14ac:dyDescent="0.35">
      <c r="B1174" t="str">
        <f>IF(Base_de_donnee_articles!B1166="","",Base_de_donnee_articles!B1166)</f>
        <v/>
      </c>
    </row>
    <row r="1175" spans="2:2" x14ac:dyDescent="0.35">
      <c r="B1175" t="str">
        <f>IF(Base_de_donnee_articles!B1167="","",Base_de_donnee_articles!B1167)</f>
        <v/>
      </c>
    </row>
    <row r="1176" spans="2:2" x14ac:dyDescent="0.35">
      <c r="B1176" t="str">
        <f>IF(Base_de_donnee_articles!B1168="","",Base_de_donnee_articles!B1168)</f>
        <v/>
      </c>
    </row>
    <row r="1177" spans="2:2" x14ac:dyDescent="0.35">
      <c r="B1177" t="str">
        <f>IF(Base_de_donnee_articles!B1169="","",Base_de_donnee_articles!B1169)</f>
        <v/>
      </c>
    </row>
    <row r="1178" spans="2:2" x14ac:dyDescent="0.35">
      <c r="B1178" t="str">
        <f>IF(Base_de_donnee_articles!B1170="","",Base_de_donnee_articles!B1170)</f>
        <v/>
      </c>
    </row>
    <row r="1179" spans="2:2" x14ac:dyDescent="0.35">
      <c r="B1179" t="str">
        <f>IF(Base_de_donnee_articles!B1171="","",Base_de_donnee_articles!B1171)</f>
        <v/>
      </c>
    </row>
    <row r="1180" spans="2:2" x14ac:dyDescent="0.35">
      <c r="B1180" t="str">
        <f>IF(Base_de_donnee_articles!B1172="","",Base_de_donnee_articles!B1172)</f>
        <v/>
      </c>
    </row>
    <row r="1181" spans="2:2" x14ac:dyDescent="0.35">
      <c r="B1181" t="str">
        <f>IF(Base_de_donnee_articles!B1173="","",Base_de_donnee_articles!B1173)</f>
        <v/>
      </c>
    </row>
    <row r="1182" spans="2:2" x14ac:dyDescent="0.35">
      <c r="B1182" t="str">
        <f>IF(Base_de_donnee_articles!B1174="","",Base_de_donnee_articles!B1174)</f>
        <v/>
      </c>
    </row>
    <row r="1183" spans="2:2" x14ac:dyDescent="0.35">
      <c r="B1183" t="str">
        <f>IF(Base_de_donnee_articles!B1175="","",Base_de_donnee_articles!B1175)</f>
        <v/>
      </c>
    </row>
    <row r="1184" spans="2:2" x14ac:dyDescent="0.35">
      <c r="B1184" t="str">
        <f>IF(Base_de_donnee_articles!B1176="","",Base_de_donnee_articles!B1176)</f>
        <v/>
      </c>
    </row>
    <row r="1185" spans="2:2" x14ac:dyDescent="0.35">
      <c r="B1185" t="str">
        <f>IF(Base_de_donnee_articles!B1177="","",Base_de_donnee_articles!B1177)</f>
        <v/>
      </c>
    </row>
    <row r="1186" spans="2:2" x14ac:dyDescent="0.35">
      <c r="B1186" t="str">
        <f>IF(Base_de_donnee_articles!B1178="","",Base_de_donnee_articles!B1178)</f>
        <v/>
      </c>
    </row>
    <row r="1187" spans="2:2" x14ac:dyDescent="0.35">
      <c r="B1187" t="str">
        <f>IF(Base_de_donnee_articles!B1179="","",Base_de_donnee_articles!B1179)</f>
        <v/>
      </c>
    </row>
    <row r="1188" spans="2:2" x14ac:dyDescent="0.35">
      <c r="B1188" t="str">
        <f>IF(Base_de_donnee_articles!B1180="","",Base_de_donnee_articles!B1180)</f>
        <v/>
      </c>
    </row>
    <row r="1189" spans="2:2" x14ac:dyDescent="0.35">
      <c r="B1189" t="str">
        <f>IF(Base_de_donnee_articles!B1181="","",Base_de_donnee_articles!B1181)</f>
        <v/>
      </c>
    </row>
    <row r="1190" spans="2:2" x14ac:dyDescent="0.35">
      <c r="B1190" t="str">
        <f>IF(Base_de_donnee_articles!B1182="","",Base_de_donnee_articles!B1182)</f>
        <v/>
      </c>
    </row>
    <row r="1191" spans="2:2" x14ac:dyDescent="0.35">
      <c r="B1191" t="str">
        <f>IF(Base_de_donnee_articles!B1183="","",Base_de_donnee_articles!B1183)</f>
        <v/>
      </c>
    </row>
    <row r="1192" spans="2:2" x14ac:dyDescent="0.35">
      <c r="B1192" t="str">
        <f>IF(Base_de_donnee_articles!B1184="","",Base_de_donnee_articles!B1184)</f>
        <v/>
      </c>
    </row>
    <row r="1193" spans="2:2" x14ac:dyDescent="0.35">
      <c r="B1193" t="str">
        <f>IF(Base_de_donnee_articles!B1185="","",Base_de_donnee_articles!B1185)</f>
        <v/>
      </c>
    </row>
    <row r="1194" spans="2:2" x14ac:dyDescent="0.35">
      <c r="B1194" t="str">
        <f>IF(Base_de_donnee_articles!B1186="","",Base_de_donnee_articles!B1186)</f>
        <v/>
      </c>
    </row>
    <row r="1195" spans="2:2" x14ac:dyDescent="0.35">
      <c r="B1195" t="str">
        <f>IF(Base_de_donnee_articles!B1187="","",Base_de_donnee_articles!B1187)</f>
        <v/>
      </c>
    </row>
    <row r="1196" spans="2:2" x14ac:dyDescent="0.35">
      <c r="B1196" t="str">
        <f>IF(Base_de_donnee_articles!B1188="","",Base_de_donnee_articles!B1188)</f>
        <v/>
      </c>
    </row>
    <row r="1197" spans="2:2" x14ac:dyDescent="0.35">
      <c r="B1197" t="str">
        <f>IF(Base_de_donnee_articles!B1189="","",Base_de_donnee_articles!B1189)</f>
        <v/>
      </c>
    </row>
    <row r="1198" spans="2:2" x14ac:dyDescent="0.35">
      <c r="B1198" t="str">
        <f>IF(Base_de_donnee_articles!B1190="","",Base_de_donnee_articles!B1190)</f>
        <v/>
      </c>
    </row>
    <row r="1199" spans="2:2" x14ac:dyDescent="0.35">
      <c r="B1199" t="str">
        <f>IF(Base_de_donnee_articles!B1191="","",Base_de_donnee_articles!B1191)</f>
        <v/>
      </c>
    </row>
    <row r="1200" spans="2:2" x14ac:dyDescent="0.35">
      <c r="B1200" t="str">
        <f>IF(Base_de_donnee_articles!B1192="","",Base_de_donnee_articles!B1192)</f>
        <v/>
      </c>
    </row>
    <row r="1201" spans="2:2" x14ac:dyDescent="0.35">
      <c r="B1201" t="str">
        <f>IF(Base_de_donnee_articles!B1193="","",Base_de_donnee_articles!B1193)</f>
        <v/>
      </c>
    </row>
    <row r="1202" spans="2:2" x14ac:dyDescent="0.35">
      <c r="B1202" t="str">
        <f>IF(Base_de_donnee_articles!B1194="","",Base_de_donnee_articles!B1194)</f>
        <v/>
      </c>
    </row>
    <row r="1203" spans="2:2" x14ac:dyDescent="0.35">
      <c r="B1203" t="str">
        <f>IF(Base_de_donnee_articles!B1195="","",Base_de_donnee_articles!B1195)</f>
        <v/>
      </c>
    </row>
    <row r="1204" spans="2:2" x14ac:dyDescent="0.35">
      <c r="B1204" t="str">
        <f>IF(Base_de_donnee_articles!B1196="","",Base_de_donnee_articles!B1196)</f>
        <v/>
      </c>
    </row>
    <row r="1205" spans="2:2" x14ac:dyDescent="0.35">
      <c r="B1205" t="str">
        <f>IF(Base_de_donnee_articles!B1197="","",Base_de_donnee_articles!B1197)</f>
        <v/>
      </c>
    </row>
    <row r="1206" spans="2:2" x14ac:dyDescent="0.35">
      <c r="B1206" t="str">
        <f>IF(Base_de_donnee_articles!B1198="","",Base_de_donnee_articles!B1198)</f>
        <v/>
      </c>
    </row>
    <row r="1207" spans="2:2" x14ac:dyDescent="0.35">
      <c r="B1207" t="str">
        <f>IF(Base_de_donnee_articles!B1199="","",Base_de_donnee_articles!B1199)</f>
        <v/>
      </c>
    </row>
    <row r="1208" spans="2:2" x14ac:dyDescent="0.35">
      <c r="B1208" t="str">
        <f>IF(Base_de_donnee_articles!B1200="","",Base_de_donnee_articles!B1200)</f>
        <v/>
      </c>
    </row>
    <row r="1209" spans="2:2" x14ac:dyDescent="0.35">
      <c r="B1209" t="str">
        <f>IF(Base_de_donnee_articles!B1201="","",Base_de_donnee_articles!B1201)</f>
        <v/>
      </c>
    </row>
    <row r="1210" spans="2:2" x14ac:dyDescent="0.35">
      <c r="B1210" t="str">
        <f>IF(Base_de_donnee_articles!B1202="","",Base_de_donnee_articles!B1202)</f>
        <v/>
      </c>
    </row>
    <row r="1211" spans="2:2" x14ac:dyDescent="0.35">
      <c r="B1211" t="str">
        <f>IF(Base_de_donnee_articles!B1203="","",Base_de_donnee_articles!B1203)</f>
        <v/>
      </c>
    </row>
    <row r="1212" spans="2:2" x14ac:dyDescent="0.35">
      <c r="B1212" t="str">
        <f>IF(Base_de_donnee_articles!B1204="","",Base_de_donnee_articles!B1204)</f>
        <v/>
      </c>
    </row>
    <row r="1213" spans="2:2" x14ac:dyDescent="0.35">
      <c r="B1213" t="str">
        <f>IF(Base_de_donnee_articles!B1205="","",Base_de_donnee_articles!B1205)</f>
        <v/>
      </c>
    </row>
    <row r="1214" spans="2:2" x14ac:dyDescent="0.35">
      <c r="B1214" t="str">
        <f>IF(Base_de_donnee_articles!B1206="","",Base_de_donnee_articles!B1206)</f>
        <v/>
      </c>
    </row>
  </sheetData>
  <mergeCells count="5">
    <mergeCell ref="G10:G11"/>
    <mergeCell ref="B3:E4"/>
    <mergeCell ref="G13:G14"/>
    <mergeCell ref="G16:G17"/>
    <mergeCell ref="G19:G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Base_de_donnee_articles</vt:lpstr>
      <vt:lpstr>Journal_entrees_et_sorties</vt:lpstr>
      <vt:lpstr>Inventaire</vt:lpstr>
      <vt:lpstr>Etat_des_stocks</vt:lpstr>
      <vt:lpstr>Fiche_personnel</vt:lpstr>
      <vt:lpstr>Outils_analyse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Mickael</dc:creator>
  <cp:lastModifiedBy>henri</cp:lastModifiedBy>
  <cp:lastPrinted>2018-07-31T03:20:14Z</cp:lastPrinted>
  <dcterms:created xsi:type="dcterms:W3CDTF">2015-08-05T11:02:55Z</dcterms:created>
  <dcterms:modified xsi:type="dcterms:W3CDTF">2018-07-31T04:37:19Z</dcterms:modified>
</cp:coreProperties>
</file>